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7">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
      <patternFill patternType="solid">
        <fgColor rgb="FF7C6BE8"/>
      </patternFill>
    </fill>
    <fill>
      <patternFill patternType="solid">
        <fgColor rgb="FF7DE2DD"/>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xf numFmtId="0" fontId="13" fillId="25" borderId="1" applyAlignment="1" pivotButton="0" quotePrefix="0" xfId="0">
      <alignment horizontal="left" vertical="top" wrapText="1"/>
    </xf>
    <xf numFmtId="0" fontId="13" fillId="26"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110"/>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Friday, October 9, 2026. Ticket states verified directly against Jira.</t>
        </is>
      </c>
    </row>
    <row r="3" ht="15.75" customHeight="1" s="24">
      <c r="A3" s="27" t="inlineStr">
        <is>
          <t>Cadence: weekly tracker email until the open issues are resolved, plus checkpoint calls Tuesdays 2:30 PM ET and Thursdays 3:30 PM ET.</t>
        </is>
      </c>
    </row>
    <row r="4"/>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0</v>
      </c>
      <c r="F7" s="31" t="n">
        <v>0</v>
      </c>
      <c r="G7" s="31" t="n">
        <v>3</v>
      </c>
    </row>
    <row r="8" ht="18" customHeight="1" s="24">
      <c r="A8" s="30" t="inlineStr">
        <is>
          <t>User accounts and duplicates</t>
        </is>
      </c>
      <c r="C8" s="31">
        <f>D8+E8+F8+G8</f>
        <v/>
      </c>
      <c r="D8" s="31" t="n">
        <v>6</v>
      </c>
      <c r="E8" s="31" t="n">
        <v>0</v>
      </c>
      <c r="F8" s="31" t="n">
        <v>0</v>
      </c>
      <c r="G8" s="31" t="n">
        <v>0</v>
      </c>
    </row>
    <row r="9" ht="18" customHeight="1" s="24">
      <c r="A9" s="30" t="inlineStr">
        <is>
          <t>Store and brand restrictions</t>
        </is>
      </c>
      <c r="C9" s="31">
        <f>D9+E9+F9+G9</f>
        <v/>
      </c>
      <c r="D9" s="31" t="n">
        <v>8</v>
      </c>
      <c r="E9" s="31" t="n">
        <v>0</v>
      </c>
      <c r="F9" s="31" t="n">
        <v>0</v>
      </c>
      <c r="G9" s="31" t="n">
        <v>1</v>
      </c>
    </row>
    <row r="10" ht="18" customHeight="1" s="24">
      <c r="A10" s="30" t="inlineStr">
        <is>
          <t>Case entry and assignment</t>
        </is>
      </c>
      <c r="C10" s="31">
        <f>D10+E10+F10+G10</f>
        <v/>
      </c>
      <c r="D10" s="31" t="n">
        <v>11</v>
      </c>
      <c r="E10" s="31" t="n">
        <v>0</v>
      </c>
      <c r="F10" s="31" t="n">
        <v>1</v>
      </c>
      <c r="G10" s="31" t="n">
        <v>5</v>
      </c>
    </row>
    <row r="11" ht="18" customHeight="1" s="24">
      <c r="A11" s="30" t="inlineStr">
        <is>
          <t>Attachments and file handling</t>
        </is>
      </c>
      <c r="C11" s="31">
        <f>D11+E11+F11+G11</f>
        <v/>
      </c>
      <c r="D11" s="31" t="n">
        <v>5</v>
      </c>
      <c r="E11" s="31" t="n">
        <v>0</v>
      </c>
      <c r="F11" s="31" t="n">
        <v>0</v>
      </c>
      <c r="G11" s="31" t="n">
        <v>0</v>
      </c>
    </row>
    <row r="12" ht="18" customHeight="1" s="24">
      <c r="A12" s="30" t="inlineStr">
        <is>
          <t>Reporting and exports</t>
        </is>
      </c>
      <c r="C12" s="31">
        <f>D12+E12+F12+G12</f>
        <v/>
      </c>
      <c r="D12" s="31" t="n">
        <v>7</v>
      </c>
      <c r="E12" s="31" t="n">
        <v>0</v>
      </c>
      <c r="F12" s="31" t="n">
        <v>0</v>
      </c>
      <c r="G12" s="31" t="n">
        <v>2</v>
      </c>
    </row>
    <row r="13" ht="18" customHeight="1" s="24">
      <c r="A13" s="30" t="inlineStr">
        <is>
          <t>Performance and timeouts</t>
        </is>
      </c>
      <c r="C13" s="31">
        <f>D13+E13+F13+G13</f>
        <v/>
      </c>
      <c r="D13" s="31" t="n">
        <v>5</v>
      </c>
      <c r="E13" s="31" t="n">
        <v>0</v>
      </c>
      <c r="F13" s="31" t="n">
        <v>0</v>
      </c>
      <c r="G13" s="31" t="n">
        <v>0</v>
      </c>
    </row>
    <row r="14" ht="18" customHeight="1" s="24">
      <c r="A14" s="30" t="inlineStr">
        <is>
          <t>Platform configuration and notifications</t>
        </is>
      </c>
      <c r="C14" s="31">
        <f>D14+E14+F14+G14</f>
        <v/>
      </c>
      <c r="D14" s="31" t="n">
        <v>4</v>
      </c>
      <c r="E14" s="31" t="n">
        <v>0</v>
      </c>
      <c r="F14" s="31" t="n">
        <v>0</v>
      </c>
      <c r="G14" s="31" t="n">
        <v>1</v>
      </c>
    </row>
    <row r="15" ht="18" customHeight="1" s="24">
      <c r="A15" s="30" t="inlineStr">
        <is>
          <t>Store file and location data</t>
        </is>
      </c>
      <c r="C15" s="31">
        <f>D15+E15+F15+G15</f>
        <v/>
      </c>
      <c r="D15" s="31" t="n">
        <v>4</v>
      </c>
      <c r="E15" s="31" t="n">
        <v>0</v>
      </c>
      <c r="F15" s="31" t="n">
        <v>0</v>
      </c>
      <c r="G15" s="31" t="n">
        <v>0</v>
      </c>
    </row>
    <row r="16" ht="18" customHeight="1" s="24">
      <c r="A16" s="30" t="inlineStr">
        <is>
          <t>Transaction, tender and POS data</t>
        </is>
      </c>
      <c r="C16" s="31">
        <f>D16+E16+F16+G16</f>
        <v/>
      </c>
      <c r="D16" s="31" t="n">
        <v>4</v>
      </c>
      <c r="E16" s="31" t="n">
        <v>0</v>
      </c>
      <c r="F16" s="31" t="n">
        <v>2</v>
      </c>
      <c r="G16" s="31" t="n">
        <v>3</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0"/>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409" customHeight="1" s="24">
      <c r="A28" s="36" t="inlineStr">
        <is>
          <t>RCS-28693</t>
        </is>
      </c>
      <c r="B28" s="37" t="inlineStr">
        <is>
          <t>User not provisioned to the system unable to log in</t>
        </is>
      </c>
      <c r="C28" s="37" t="inlineStr">
        <is>
          <t>Under Engineering Review</t>
        </is>
      </c>
      <c r="D28" s="53" t="inlineStr">
        <is>
          <t>Active with Appriss</t>
        </is>
      </c>
      <c r="E28" s="37" t="inlineStr">
        <is>
          <t>Matthew Kamminga</t>
        </is>
      </c>
      <c r="F28" s="39" t="n">
        <v>46266</v>
      </c>
      <c r="G28" s="39" t="n">
        <v>46280</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t>
        </is>
      </c>
    </row>
    <row r="29" ht="150" customHeight="1" s="24">
      <c r="A29" s="61" t="inlineStr">
        <is>
          <t>RCS-29315</t>
        </is>
      </c>
      <c r="B29" s="62" t="inlineStr">
        <is>
          <t>User cannot get past the sign in screen</t>
        </is>
      </c>
      <c r="C29" s="62" t="inlineStr">
        <is>
          <t>Work in progress</t>
        </is>
      </c>
      <c r="D29" s="59" t="inlineStr">
        <is>
          <t>Active with Appriss</t>
        </is>
      </c>
      <c r="E29" s="62" t="inlineStr">
        <is>
          <t>Megha Rathi</t>
        </is>
      </c>
      <c r="F29" s="63" t="n">
        <v>46302</v>
      </c>
      <c r="G29" s="63" t="n">
        <v>46304</v>
      </c>
      <c r="H29" s="62" t="inlineStr">
        <is>
          <t>A Central Station operator reaches the sign in screen and cannot get any further. The page refreshes and stays where it is, with no error message, and the user does not appear as logged in. Raised 10/7.</t>
        </is>
      </c>
      <c r="I29" s="62" t="inlineStr">
        <is>
          <t>Appriss searched the user list by name and by email address and found no account. Appriss asked for the link used, the access level and the time of the attempt, and Ahold sent those on 10/9. Appriss is working from that detail.</t>
        </is>
      </c>
      <c r="J29" s="62" t="inlineStr">
        <is>
          <t>Ticket opened 10/7/2026
10/7/2026 - She reaches the sign in screen and cannot get any further.
10/9/2026 - Link and access level sent. She does not get an error message, the page refreshes and stays there.</t>
        </is>
      </c>
    </row>
    <row r="30" ht="150" customHeight="1" s="24">
      <c r="A30" s="57" t="inlineStr">
        <is>
          <t>RCS-29376</t>
        </is>
      </c>
      <c r="B30" s="58" t="inlineStr">
        <is>
          <t>Reset Password option visible on the Admin users screen</t>
        </is>
      </c>
      <c r="C30" s="58" t="inlineStr">
        <is>
          <t>Under Engineering Review</t>
        </is>
      </c>
      <c r="D30" s="59" t="inlineStr">
        <is>
          <t>Active with Appriss</t>
        </is>
      </c>
      <c r="E30" s="58" t="inlineStr">
        <is>
          <t>Shandana Khan</t>
        </is>
      </c>
      <c r="F30" s="60" t="n">
        <v>46304</v>
      </c>
      <c r="G30" s="60" t="n">
        <v>46304</v>
      </c>
      <c r="H30" s="58" t="inlineStr">
        <is>
          <t>Reset Password appears as an option on the Admin users screen. Ahold authenticates through SSO and asks that the option not be available there, and wants to know whether it is visible anywhere else. Raised 10/9.</t>
        </is>
      </c>
      <c r="I30" s="58" t="inlineStr">
        <is>
          <t>Appriss took the ticket on 10/9 and passed it to engineering for review. Appriss will come back on where the option appears and what can be done about it.</t>
        </is>
      </c>
      <c r="J30" s="58" t="inlineStr">
        <is>
          <t>Ticket opened 10/9/2026
10/9/2026 - Reset Password is an option on the Admin users screen. We authenticate by SSO, so this does not need to be there, and we do not want anyone able to change it wherever else it may be visible.</t>
        </is>
      </c>
    </row>
    <row r="31" ht="21.75" customHeight="1" s="24">
      <c r="A31" s="35" t="inlineStr">
        <is>
          <t>User accounts and duplicates</t>
        </is>
      </c>
    </row>
    <row r="32" ht="94.5" customHeight="1" s="24">
      <c r="A32" s="36" t="inlineStr">
        <is>
          <t>RCS-28135</t>
        </is>
      </c>
      <c r="B32" s="37" t="inlineStr">
        <is>
          <t>Duplicated users</t>
        </is>
      </c>
      <c r="C32" s="37" t="inlineStr">
        <is>
          <t>Closed</t>
        </is>
      </c>
      <c r="D32" s="38" t="inlineStr">
        <is>
          <t>Resolved</t>
        </is>
      </c>
      <c r="E32" s="37" t="inlineStr">
        <is>
          <t>Juan Martinez</t>
        </is>
      </c>
      <c r="F32" s="39" t="n">
        <v>46237</v>
      </c>
      <c r="G32" s="39" t="n">
        <v>46248</v>
      </c>
      <c r="H32"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2" s="37" t="inlineStr">
        <is>
          <t>The duplicate records were removed on 8/4 and ADUSA confirmed the same evening. Closed. Related follow-on work continues under RCS-28177 and RCS-28342.</t>
        </is>
      </c>
      <c r="J32" s="37" t="inlineStr">
        <is>
          <t>8/4/2026 - Resolved</t>
        </is>
      </c>
    </row>
    <row r="33" ht="117" customHeight="1" s="24">
      <c r="A33" s="40" t="inlineStr">
        <is>
          <t>RCS-28177</t>
        </is>
      </c>
      <c r="B33" s="41" t="inlineStr">
        <is>
          <t>Error when performing search on case for user with a numeral in the email address</t>
        </is>
      </c>
      <c r="C33" s="41" t="inlineStr">
        <is>
          <t>Closed</t>
        </is>
      </c>
      <c r="D33" s="38" t="inlineStr">
        <is>
          <t>Resolved</t>
        </is>
      </c>
      <c r="E33" s="41" t="inlineStr">
        <is>
          <t>Viraj Kansara</t>
        </is>
      </c>
      <c r="F33" s="42" t="n">
        <v>46239</v>
      </c>
      <c r="G33" s="42" t="n">
        <v>46259</v>
      </c>
      <c r="H33"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3"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3" s="41" t="inlineStr">
        <is>
          <t>8/13/2026 - Still an issue. Currently being worked on by Appriss.
8/14/2026 - Appriss believes that it has been fixed.
8/18/2026 - Cleared for the named users.
8/19/2026 - Testing shows the issue is resolved. Closed.</t>
        </is>
      </c>
    </row>
    <row r="34" ht="150.75" customHeight="1" s="24">
      <c r="A34" s="36" t="inlineStr">
        <is>
          <t>RCS-28342</t>
        </is>
      </c>
      <c r="B34" s="37" t="inlineStr">
        <is>
          <t>Anthony Lopez, employee data missing from profile</t>
        </is>
      </c>
      <c r="C34" s="37" t="inlineStr">
        <is>
          <t>Closed</t>
        </is>
      </c>
      <c r="D34" s="38" t="inlineStr">
        <is>
          <t>Resolved</t>
        </is>
      </c>
      <c r="E34" s="37" t="inlineStr">
        <is>
          <t>Juan Martinez</t>
        </is>
      </c>
      <c r="F34" s="39" t="n">
        <v>46246</v>
      </c>
      <c r="G34" s="39" t="n">
        <v>46260</v>
      </c>
      <c r="H34"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4"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4"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5" ht="97.5" customHeight="1" s="24">
      <c r="A35" s="40" t="inlineStr">
        <is>
          <t>RCS-28364</t>
        </is>
      </c>
      <c r="B35" s="41" t="inlineStr">
        <is>
          <t>Brian Somsky unable to see his old cases</t>
        </is>
      </c>
      <c r="C35" s="41" t="inlineStr">
        <is>
          <t>Closed</t>
        </is>
      </c>
      <c r="D35" s="38" t="inlineStr">
        <is>
          <t>Resolved</t>
        </is>
      </c>
      <c r="E35" s="41" t="inlineStr">
        <is>
          <t>Juan Martinez</t>
        </is>
      </c>
      <c r="F35" s="42" t="n">
        <v>46247</v>
      </c>
      <c r="G35" s="42" t="n">
        <v>46265</v>
      </c>
      <c r="H35" s="41" t="inlineStr">
        <is>
          <t>A user with the company since 2017 could not view any of his historical cases. Four identifier records were held for him and one disagreed with the others.</t>
        </is>
      </c>
      <c r="I35"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5" s="41" t="inlineStr">
        <is>
          <t>Ticket opened 08/13/2026
8/18/2026 - Appears to be resolved as a substantial number of cases are showing now.</t>
        </is>
      </c>
    </row>
    <row r="36" ht="96.75" customHeight="1" s="24">
      <c r="A36" s="36" t="inlineStr">
        <is>
          <t>RCS-28379</t>
        </is>
      </c>
      <c r="B36" s="37" t="inlineStr">
        <is>
          <t>Case Owner, Case Creator and Case Assigned To are blank</t>
        </is>
      </c>
      <c r="C36" s="37" t="inlineStr">
        <is>
          <t>Closed</t>
        </is>
      </c>
      <c r="D36" s="38" t="inlineStr">
        <is>
          <t>Resolved</t>
        </is>
      </c>
      <c r="E36" s="37" t="inlineStr">
        <is>
          <t>Diego Buelvas</t>
        </is>
      </c>
      <c r="F36" s="39" t="n">
        <v>46248</v>
      </c>
      <c r="G36" s="39" t="n">
        <v>46259</v>
      </c>
      <c r="H36"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6"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6" s="37" t="inlineStr">
        <is>
          <t>Ticket opened 08/13/2026
8/17/2026 - Still appears to be an issue. Some case examples are on the next sheet
8/18/2026 - Sampled cases now show the owner populated.</t>
        </is>
      </c>
    </row>
    <row r="37" ht="150" customHeight="1" s="24">
      <c r="A37" s="61" t="inlineStr">
        <is>
          <t>RCS-29282</t>
        </is>
      </c>
      <c r="B37" s="62" t="inlineStr">
        <is>
          <t>User with two hierarchies cannot create a case</t>
        </is>
      </c>
      <c r="C37" s="62" t="inlineStr">
        <is>
          <t>Closed</t>
        </is>
      </c>
      <c r="D37" s="66" t="inlineStr">
        <is>
          <t>Resolved</t>
        </is>
      </c>
      <c r="E37" s="62" t="inlineStr">
        <is>
          <t>Diego Buelvas</t>
        </is>
      </c>
      <c r="F37" s="63" t="n">
        <v>46300</v>
      </c>
      <c r="G37" s="63" t="n">
        <v>46301</v>
      </c>
      <c r="H37" s="62" t="inlineStr">
        <is>
          <t>A user with access to two hierarchies could not get past the select incident type screen when creating a report. Ahold confirmed the user should hold one profile only and asked whether other accounts are in the same state. Raised 10/5.</t>
        </is>
      </c>
      <c r="I37" s="62" t="inlineStr">
        <is>
          <t>Appriss corrected the account so the user holds a single hierarchy, and Ahold confirmed on 10/6 that the user can create cases again. The ticket closed the same day.</t>
        </is>
      </c>
      <c r="J37" s="62" t="inlineStr">
        <is>
          <t>Ticket opened 10/5/2026
10/5/2026 - The user cannot get past the select incident type screen. He should only have one profile.
10/6/2026 - Confirmed resolved on our side.</t>
        </is>
      </c>
    </row>
    <row r="38" ht="21.75" customHeight="1" s="24">
      <c r="A38" s="35" t="inlineStr">
        <is>
          <t>Store and brand restrictions</t>
        </is>
      </c>
    </row>
    <row r="39" ht="68.25" customHeight="1" s="24">
      <c r="A39" s="36" t="inlineStr">
        <is>
          <t>RCS-28023</t>
        </is>
      </c>
      <c r="B39" s="37" t="inlineStr">
        <is>
          <t>Users are unable to create cases when restricted by Division</t>
        </is>
      </c>
      <c r="C39" s="37" t="inlineStr">
        <is>
          <t>Closed</t>
        </is>
      </c>
      <c r="D39" s="38" t="inlineStr">
        <is>
          <t>Resolved</t>
        </is>
      </c>
      <c r="E39" s="37" t="inlineStr">
        <is>
          <t>Viraj Kansara</t>
        </is>
      </c>
      <c r="F39" s="39" t="n">
        <v>46232</v>
      </c>
      <c r="G39" s="39" t="n">
        <v>46246</v>
      </c>
      <c r="H39" s="37" t="inlineStr">
        <is>
          <t>AP Level 1, Level 2 and Level 2 lead users could not create cases because their user to location assignments pointed at location records whose brand did not match the division on the store.</t>
        </is>
      </c>
      <c r="I39" s="37" t="inlineStr">
        <is>
          <t>Corrected on 7/31 and confirmed working for the affected users. Closed.</t>
        </is>
      </c>
      <c r="J39" s="37" t="inlineStr">
        <is>
          <t>7/31/2026 - Resolved</t>
        </is>
      </c>
    </row>
    <row r="40" ht="75" customHeight="1" s="24">
      <c r="A40" s="40" t="inlineStr">
        <is>
          <t>RCS-28043</t>
        </is>
      </c>
      <c r="B40" s="41" t="inlineStr">
        <is>
          <t>Users with Store locations that are duplicates in other brands</t>
        </is>
      </c>
      <c r="C40" s="41" t="inlineStr">
        <is>
          <t>Closed</t>
        </is>
      </c>
      <c r="D40" s="38" t="inlineStr">
        <is>
          <t>Resolved</t>
        </is>
      </c>
      <c r="E40" s="41" t="inlineStr">
        <is>
          <t>Viraj Kansara</t>
        </is>
      </c>
      <c r="F40" s="42" t="n">
        <v>46232</v>
      </c>
      <c r="G40" s="42" t="n">
        <v>46246</v>
      </c>
      <c r="H40" s="41" t="inlineStr">
        <is>
          <t>Users assigned to Stop &amp; Shop and Giant Food of Landover locations were seeing only the matching Food Lion store number, because store numbers that duplicate across brands had both locations assigned to the profile.</t>
        </is>
      </c>
      <c r="I40" s="41" t="inlineStr">
        <is>
          <t>Corrected across all affected users. Closed.</t>
        </is>
      </c>
      <c r="J40" s="41" t="inlineStr">
        <is>
          <t>7/30/2026 - Resolved</t>
        </is>
      </c>
    </row>
    <row r="41" ht="225" customHeight="1" s="24">
      <c r="A41" s="36" t="inlineStr">
        <is>
          <t>RCS-28093</t>
        </is>
      </c>
      <c r="B41" s="37" t="inlineStr">
        <is>
          <t>Employees not restricted by Store location</t>
        </is>
      </c>
      <c r="C41" s="37" t="inlineStr">
        <is>
          <t>Completed</t>
        </is>
      </c>
      <c r="D41" s="54" t="inlineStr">
        <is>
          <t>Resolved</t>
        </is>
      </c>
      <c r="E41" s="37" t="inlineStr">
        <is>
          <t>Matthew Kamminga</t>
        </is>
      </c>
      <c r="F41" s="39" t="n">
        <v>46234</v>
      </c>
      <c r="G41" s="39" t="n">
        <v>46274</v>
      </c>
      <c r="H41" s="37" t="inlineStr">
        <is>
          <t>Two parts: users seeing stores from the wrong brand, corrected 7/31 and confirmed 8/12; and employee search still returning associates from more than one brand for the same store number, both inside a case and from the admin employee table.</t>
        </is>
      </c>
      <c r="I41"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41"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42" ht="96.75" customHeight="1" s="24">
      <c r="A42" s="40" t="inlineStr">
        <is>
          <t>RCS-28519</t>
        </is>
      </c>
      <c r="B42" s="41" t="inlineStr">
        <is>
          <t>Users cannot view any stores to enter cases</t>
        </is>
      </c>
      <c r="C42" s="41" t="inlineStr">
        <is>
          <t>Closed</t>
        </is>
      </c>
      <c r="D42" s="38" t="inlineStr">
        <is>
          <t>Resolved</t>
        </is>
      </c>
      <c r="E42" s="41" t="inlineStr">
        <is>
          <t>Diego Buelvas</t>
        </is>
      </c>
      <c r="F42" s="42" t="n">
        <v>46255</v>
      </c>
      <c r="G42" s="42" t="n">
        <v>46260</v>
      </c>
      <c r="H42"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42"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42" s="41" t="inlineStr">
        <is>
          <t>Ticket opened 8/21/2026
8/26/2026 - Sammy Rivera tested and it worked. We are waiting on Deborah Jean to return.
8/26/2026 - Both Deborah Jean and Sammy Rivera tested and it worked. Ticket can be closed.</t>
        </is>
      </c>
    </row>
    <row r="43" ht="64.5" customHeight="1" s="24">
      <c r="A43" s="36" t="inlineStr">
        <is>
          <t>RCS-28365</t>
        </is>
      </c>
      <c r="B43" s="37" t="inlineStr">
        <is>
          <t>Melanie Engleman unable to create cases</t>
        </is>
      </c>
      <c r="C43" s="37" t="inlineStr">
        <is>
          <t>Closed</t>
        </is>
      </c>
      <c r="D43" s="38" t="inlineStr">
        <is>
          <t>Resolved</t>
        </is>
      </c>
      <c r="E43" s="37" t="inlineStr">
        <is>
          <t>Bikash Kumar</t>
        </is>
      </c>
      <c r="F43" s="39" t="n">
        <v>46247</v>
      </c>
      <c r="G43" s="39" t="n">
        <v>46253</v>
      </c>
      <c r="H43" s="37" t="inlineStr">
        <is>
          <t>The user could sign in but could not select a store to create a case, or search for cases in LPMS. Her provisioning profile showed office location 7225.</t>
        </is>
      </c>
      <c r="I43" s="37" t="inlineStr">
        <is>
          <t>Location 7225 was assigned on 8/13 and ADUSA confirmed on 8/17 the issue is resolved. Reviewed alongside RCS-28415, which had the same symptom for two new users. Closed in Jira.</t>
        </is>
      </c>
      <c r="J43" s="37" t="inlineStr">
        <is>
          <t>Ticket Opened 8/13/2026
8/17/2026 - Issue resolved</t>
        </is>
      </c>
    </row>
    <row r="44" ht="105.75" customHeight="1" s="24">
      <c r="A44" s="40" t="inlineStr">
        <is>
          <t>RCS-28415</t>
        </is>
      </c>
      <c r="B44" s="41" t="inlineStr">
        <is>
          <t>Two new Stop &amp; Shop users unable to create cases at Location level</t>
        </is>
      </c>
      <c r="C44" s="41" t="inlineStr">
        <is>
          <t>Closed</t>
        </is>
      </c>
      <c r="D44" s="38" t="inlineStr">
        <is>
          <t>Resolved</t>
        </is>
      </c>
      <c r="E44" s="41" t="inlineStr">
        <is>
          <t>Bikash Kumar</t>
        </is>
      </c>
      <c r="F44" s="42" t="n">
        <v>46251</v>
      </c>
      <c r="G44" s="42" t="n">
        <v>46253</v>
      </c>
      <c r="H44" s="41" t="inlineStr">
        <is>
          <t>Two new hires could not select a store to start a case. After entering a store number the screen paused and then returned no store listing, and a second attempt returned no matching location found. Neither user had a location assigned.</t>
        </is>
      </c>
      <c r="I44"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4" s="41" t="inlineStr">
        <is>
          <t>Ticket opened 08/17/2026
8/18/2026 - Both have tested and are able to access the system.</t>
        </is>
      </c>
    </row>
    <row r="45" ht="162" customHeight="1" s="24">
      <c r="A45" s="36" t="inlineStr">
        <is>
          <t>RCS-28596</t>
        </is>
      </c>
      <c r="B45" s="37" t="inlineStr">
        <is>
          <t>Employees duplicated in the employee search on a case</t>
        </is>
      </c>
      <c r="C45" s="37" t="inlineStr">
        <is>
          <t>Completed</t>
        </is>
      </c>
      <c r="D45" s="54" t="inlineStr">
        <is>
          <t>Resolved</t>
        </is>
      </c>
      <c r="E45" s="37" t="inlineStr">
        <is>
          <t>Shandana Khan</t>
        </is>
      </c>
      <c r="F45" s="39" t="n">
        <v>46260</v>
      </c>
      <c r="G45" s="39" t="n">
        <v>46274</v>
      </c>
      <c r="H45" s="37" t="inlineStr">
        <is>
          <t>When adding an employee to a case through the employee search, each employee appears twice. The employee table reached from the admin screen shows each employee once. Raised 8/26 with a screenshot.</t>
        </is>
      </c>
      <c r="I45"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5" s="37" t="inlineStr">
        <is>
          <t>Ticket opened 8/26/2026
9/4/2026 - Appriss told Jim this is with engineering and will update him once it comes back.
9/8/2026 - Appriss asked Jim to confirm the fix is working now.
9/9/2026 - Tested and it is working correctly now. Closed in Jira.</t>
        </is>
      </c>
    </row>
    <row r="46" ht="409" customHeight="1" s="24">
      <c r="A46" s="40" t="inlineStr">
        <is>
          <t>RCS-28667</t>
        </is>
      </c>
      <c r="B46" s="41" t="inlineStr">
        <is>
          <t>New users provisioned without a hierarchy cannot select a store</t>
        </is>
      </c>
      <c r="C46" s="41" t="inlineStr">
        <is>
          <t>Under Engineering Review</t>
        </is>
      </c>
      <c r="D46" s="59" t="inlineStr">
        <is>
          <t>Active with Appriss</t>
        </is>
      </c>
      <c r="E46" s="41" t="inlineStr">
        <is>
          <t>Shandana Khan</t>
        </is>
      </c>
      <c r="F46" s="42" t="n">
        <v>46263</v>
      </c>
      <c r="G46" s="42" t="n">
        <v>46295</v>
      </c>
      <c r="H46"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6" s="41" t="inlineStr">
        <is>
          <t>Appriss confirmed on 9/24 that assigning a hierarchy to a new user is an administrator step today. The platform does not assign one when the account is created, and the steps from Settings &gt; Users &gt; Hierarchies were sent with screenshots. Leigh Ann explained that access is requested through Ahold IT, granted by Brand/Division, and that users only authenticate through single sign-on with Azure provisioning, so a manual step per user does not fit Ahold's flow. Appriss engineering is working on a change so that sign-in assigns the store hierarchy from the store and banner values Ahold already sends, which removes the manual step. Until that is released, assigning the hierarchy from the Hierarchies tab unblocks a new user.</t>
        </is>
      </c>
      <c r="J46"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
9/24/2026 - Appriss confirmed hierarchy assignment is an administrator step and sent the steps with screenshots.
9/24/2026 - Users are provisioned by Brand/Division, not a single location or district, with a 4 to 6 hour sync. This has not been an issue until now. There has to be a better way.
9/24/2026 - Our IT department requires that users only authenticate through the SSO process, through Azure provisioning.
9/24/2026 - Appriss asked who on the Ahold IT team manages the Azure setup, to include them on the call.
9/30/2026 - Appriss confirmed engineering is working on a change so new users receive their store hierarchy when they sign in through Azure. No call needed for now. The Hierarchies tab remains the workaround.</t>
        </is>
      </c>
    </row>
    <row r="47" ht="228" customHeight="1" s="24">
      <c r="A47" s="57" t="inlineStr">
        <is>
          <t>RCS-28752</t>
        </is>
      </c>
      <c r="B47" s="58" t="inlineStr">
        <is>
          <t>User provisioned to the wrong brand at a shared store number</t>
        </is>
      </c>
      <c r="C47" s="58" t="inlineStr">
        <is>
          <t>Completed</t>
        </is>
      </c>
      <c r="D47" s="54" t="inlineStr">
        <is>
          <t>Resolved</t>
        </is>
      </c>
      <c r="E47" s="58" t="inlineStr">
        <is>
          <t>Shandana Khan</t>
        </is>
      </c>
      <c r="F47" s="60" t="n">
        <v>46268</v>
      </c>
      <c r="G47" s="60" t="n">
        <v>46279</v>
      </c>
      <c r="H47" s="58" t="inlineStr">
        <is>
          <t>A user was provisioned to the wrong brand at a store number that Food Lion and Stop &amp; Shop both use. This is the same duplicate store number pattern behind RCS-28667 and RCS-28693.</t>
        </is>
      </c>
      <c r="I47"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changed on the user. Leigh Ann put the user on it and came back on 9/14, and Appriss closed the ticket the same afternoon. The wider code change continues separately so the correction reaches every client.</t>
        </is>
      </c>
      <c r="J47"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
9/14/2026 - Ahold came back on the retest and the ticket closed as resolved.</t>
        </is>
      </c>
    </row>
    <row r="48" ht="78.75" customHeight="1" s="24">
      <c r="A48" s="35" t="inlineStr">
        <is>
          <t>Case entry and assignment</t>
        </is>
      </c>
    </row>
    <row r="49" ht="219" customHeight="1" s="24">
      <c r="A49" s="36" t="inlineStr">
        <is>
          <t>RCS-28115</t>
        </is>
      </c>
      <c r="B49" s="37" t="inlineStr">
        <is>
          <t>LPMS fields are not clickable</t>
        </is>
      </c>
      <c r="C49" s="37" t="inlineStr">
        <is>
          <t>Completed</t>
        </is>
      </c>
      <c r="D49" s="38" t="inlineStr">
        <is>
          <t>Resolved</t>
        </is>
      </c>
      <c r="E49" s="37" t="inlineStr">
        <is>
          <t>J.R. Teagle</t>
        </is>
      </c>
      <c r="F49" s="39" t="n">
        <v>46235</v>
      </c>
      <c r="G49" s="39" t="n">
        <v>46246</v>
      </c>
      <c r="H49" s="37" t="inlineStr">
        <is>
          <t>Dropdown fields and the SAVE button did not respond on the Unusual Incident, Shoplifting, Burglary and Medical entry screens. Cause was a script error on the narrative field, after which the fields on the page stopped responding.</t>
        </is>
      </c>
      <c r="I49" s="37" t="inlineStr">
        <is>
          <t>A hotfix and a system cache clear went in on 8/1, within an hour of the report. Resolved.</t>
        </is>
      </c>
      <c r="J49" s="37" t="inlineStr">
        <is>
          <t>8/1/2026 - This issue has been resolved</t>
        </is>
      </c>
    </row>
    <row r="50" ht="111" customHeight="1" s="24">
      <c r="A50" s="40" t="inlineStr">
        <is>
          <t>RCS-28123</t>
        </is>
      </c>
      <c r="B50" s="41" t="inlineStr">
        <is>
          <t>Case assignment issues</t>
        </is>
      </c>
      <c r="C50" s="41" t="inlineStr">
        <is>
          <t>Completed</t>
        </is>
      </c>
      <c r="D50" s="38" t="inlineStr">
        <is>
          <t>Resolved</t>
        </is>
      </c>
      <c r="E50" s="41" t="inlineStr">
        <is>
          <t>Juan Martinez</t>
        </is>
      </c>
      <c r="F50" s="42" t="n">
        <v>46237</v>
      </c>
      <c r="G50" s="42" t="n">
        <v>46268</v>
      </c>
      <c r="H50"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50"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50"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51" ht="159.75" customHeight="1" s="24">
      <c r="A51" s="36" t="inlineStr">
        <is>
          <t>RCS-28533</t>
        </is>
      </c>
      <c r="B51" s="37" t="inlineStr">
        <is>
          <t>Screen not rendering correctly for one user</t>
        </is>
      </c>
      <c r="C51" s="37" t="inlineStr">
        <is>
          <t>Closed</t>
        </is>
      </c>
      <c r="D51" s="38" t="inlineStr">
        <is>
          <t>Resolved</t>
        </is>
      </c>
      <c r="E51" s="37" t="inlineStr">
        <is>
          <t>Diego Buelvas</t>
        </is>
      </c>
      <c r="F51" s="39" t="n">
        <v>46256</v>
      </c>
      <c r="G51" s="39" t="n">
        <v>46260</v>
      </c>
      <c r="H51" s="37" t="inlineStr">
        <is>
          <t>User Ralph Valentine had an LPMS screen render with the columns crammed together, making the report narrative and neighbouring fields unusable. Screenshots of his view and a colleague's correct view of the same screen were supplied on the ticket.</t>
        </is>
      </c>
      <c r="I51"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51"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52" ht="119.25" customHeight="1" s="24">
      <c r="A52" s="40" t="inlineStr">
        <is>
          <t>RCS-28196</t>
        </is>
      </c>
      <c r="B52" s="41" t="inlineStr">
        <is>
          <t>AD Shoplifting Entry: two fields that used to be blank now default to No</t>
        </is>
      </c>
      <c r="C52" s="41" t="inlineStr">
        <is>
          <t>Closed</t>
        </is>
      </c>
      <c r="D52" s="38" t="inlineStr">
        <is>
          <t>Resolved</t>
        </is>
      </c>
      <c r="E52" s="41" t="inlineStr">
        <is>
          <t>Vedant Shirude</t>
        </is>
      </c>
      <c r="F52" s="42" t="n">
        <v>46239</v>
      </c>
      <c r="G52" s="42" t="n">
        <v>46260</v>
      </c>
      <c r="H52"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52" s="41" t="inlineStr">
        <is>
          <t>Both fields now open blank and require an entry of Yes or No, with the conditional items appearing as expected. Leigh Ann validated this on 8/24 and asked for the ticket to be closed. Closed in Jira. No revalidation is needed after the next release.</t>
        </is>
      </c>
      <c r="J52"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3" ht="93" customHeight="1" s="24">
      <c r="A53" s="36" t="inlineStr">
        <is>
          <t>RCS-28304</t>
        </is>
      </c>
      <c r="B53" s="37" t="inlineStr">
        <is>
          <t>Case tier abbreviated on Central Station Master page</t>
        </is>
      </c>
      <c r="C53" s="37" t="inlineStr">
        <is>
          <t>Closed</t>
        </is>
      </c>
      <c r="D53" s="38" t="inlineStr">
        <is>
          <t>Resolved</t>
        </is>
      </c>
      <c r="E53" s="37" t="inlineStr">
        <is>
          <t>Viraj Kansara</t>
        </is>
      </c>
      <c r="F53" s="39" t="n">
        <v>46245</v>
      </c>
      <c r="G53" s="39" t="n">
        <v>46261</v>
      </c>
      <c r="H53"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3"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3"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4" ht="61.5" customHeight="1" s="24">
      <c r="A54" s="40" t="inlineStr">
        <is>
          <t>RCS-28369</t>
        </is>
      </c>
      <c r="B54" s="41" t="inlineStr">
        <is>
          <t>Case number did not change when the location changed</t>
        </is>
      </c>
      <c r="C54" s="41" t="inlineStr">
        <is>
          <t>Closed</t>
        </is>
      </c>
      <c r="D54" s="38" t="inlineStr">
        <is>
          <t>Resolved</t>
        </is>
      </c>
      <c r="E54" s="41" t="inlineStr">
        <is>
          <t>Viraj Kansara</t>
        </is>
      </c>
      <c r="F54" s="42" t="n">
        <v>46247</v>
      </c>
      <c r="G54" s="42" t="n">
        <v>46252</v>
      </c>
      <c r="H54" s="41" t="inlineStr">
        <is>
          <t>A case was created against store 6510 that should have been store 6314. The location was changed several times and the case number did not follow, which raised a concern about duplicated or lost cases.</t>
        </is>
      </c>
      <c r="I54"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4" s="41" t="inlineStr">
        <is>
          <t>Ticket opened 8/13/2026
8/14/2026 - Resolved by Appriss, validated by ADUSA</t>
        </is>
      </c>
    </row>
    <row r="55" ht="117" customHeight="1" s="24">
      <c r="A55" s="36" t="inlineStr">
        <is>
          <t>RCS-28378</t>
        </is>
      </c>
      <c r="B55" s="37" t="inlineStr">
        <is>
          <t>Landing page Save and Next buttons not working for the Hannaford brand</t>
        </is>
      </c>
      <c r="C55" s="37" t="inlineStr">
        <is>
          <t>Closed</t>
        </is>
      </c>
      <c r="D55" s="38" t="inlineStr">
        <is>
          <t>Resolved</t>
        </is>
      </c>
      <c r="E55" s="37" t="inlineStr">
        <is>
          <t>Vedant Shirude</t>
        </is>
      </c>
      <c r="F55" s="39" t="n">
        <v>46248</v>
      </c>
      <c r="G55" s="39" t="n">
        <v>46265</v>
      </c>
      <c r="H55" s="37" t="inlineStr">
        <is>
          <t>The Save and Next buttons on the landing page were reported as not working for the Hannaford brand.</t>
        </is>
      </c>
      <c r="I55" s="37" t="inlineStr">
        <is>
          <t>Ahold confirmed on 8/21 that the buttons are working. Transitioned to Completed.</t>
        </is>
      </c>
      <c r="J55" s="37" t="inlineStr">
        <is>
          <t>Ticket opened 08/13/2026
8/18/2026 - Confirming with the team, will follow up.
8/19/2026 - Following up again, awaiting confirmation.
8/21/2026 - Buttons are working.</t>
        </is>
      </c>
    </row>
    <row r="56" ht="205" customHeight="1" s="24">
      <c r="A56" s="40" t="inlineStr">
        <is>
          <t>RCS-28683</t>
        </is>
      </c>
      <c r="B56" s="41" t="inlineStr">
        <is>
          <t>Adding an additional associate to a case returns a 404</t>
        </is>
      </c>
      <c r="C56" s="41" t="inlineStr">
        <is>
          <t>Accepted into Development</t>
        </is>
      </c>
      <c r="D56" s="59" t="inlineStr">
        <is>
          <t>Active with Appriss</t>
        </is>
      </c>
      <c r="E56" s="41" t="inlineStr">
        <is>
          <t>Shandana Khan</t>
        </is>
      </c>
      <c r="F56" s="42" t="n">
        <v>46265</v>
      </c>
      <c r="G56" s="42" t="n">
        <v>46295</v>
      </c>
      <c r="H56"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6" s="41" t="inlineStr">
        <is>
          <t>Appriss reproduced the same 404 error the customer sees. The page the system tries to load after adding an associate does not exist on the server, which points to a platform defect rather than a data or account issue. Engineering accepted the fix into development. The case itself is created when the error appears and nothing entered is lost: select Return to Home, open the new case from the workbench and continue there. Leigh Ann linked this on 9/16 to the same error on the Elevator Entrapment case type. RCS-29164, raised 9/29 on Hannaford cases, describes the same steps and error, and Appriss is reviewing it against this ticket.</t>
        </is>
      </c>
      <c r="J56" s="41" t="inlineStr">
        <is>
          <t>Ticket opened 8/31/2026
9/3/2026 - Our engineering team is actively investigating the issue and continuing work toward a resolution.
9/9/2026 - Moved to engineering review with Matthew Kamminga.
9/24/2026 - Appriss confirmed the fix was accepted into development and shared the Return to Home workaround.</t>
        </is>
      </c>
    </row>
    <row r="57" ht="99.75" customHeight="1" s="24">
      <c r="A57" s="57" t="inlineStr">
        <is>
          <t>RCS-28766</t>
        </is>
      </c>
      <c r="B57" s="58" t="inlineStr">
        <is>
          <t>Case reassignment notification email not sending</t>
        </is>
      </c>
      <c r="C57" s="58" t="inlineStr">
        <is>
          <t>Closed</t>
        </is>
      </c>
      <c r="D57" s="54" t="inlineStr">
        <is>
          <t>Resolved</t>
        </is>
      </c>
      <c r="E57" s="58" t="inlineStr">
        <is>
          <t>Diego Buelvas</t>
        </is>
      </c>
      <c r="F57" s="60" t="n">
        <v>46268</v>
      </c>
      <c r="G57" s="60" t="n">
        <v>46275</v>
      </c>
      <c r="H57" s="58" t="inlineStr">
        <is>
          <t>Ahold reported that the email notifying a newly assigned person does not go out. Split out on 9/3 from RCS-28123, which tracked the confirmation screen question, since this is a separate symptom.</t>
        </is>
      </c>
      <c r="I57"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7"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8" ht="132" customHeight="1" s="24">
      <c r="A58" s="61" t="inlineStr">
        <is>
          <t>RCS-28849</t>
        </is>
      </c>
      <c r="B58" s="62" t="inlineStr">
        <is>
          <t>Users not receiving the confirmation screen when assigning a case</t>
        </is>
      </c>
      <c r="C58" s="62" t="inlineStr">
        <is>
          <t>Accepted into Development</t>
        </is>
      </c>
      <c r="D58" s="59" t="inlineStr">
        <is>
          <t>Active with Appriss</t>
        </is>
      </c>
      <c r="E58" s="62" t="inlineStr">
        <is>
          <t>Shandana Khan</t>
        </is>
      </c>
      <c r="F58" s="63" t="n">
        <v>46274</v>
      </c>
      <c r="G58" s="63" t="n">
        <v>46279</v>
      </c>
      <c r="H58"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8" s="62" t="inlineStr">
        <is>
          <t>Appriss compared the assign and the reject paths. The reject path sends the user to the confirmation page, the assign path does not, and it has not carried that screen for around three years. RCS-28123 reached the same conclusion. Appriss reviewed it with engineering on 9/14 and accepted it as a change request rather than a defect, so adding the screen is a product enhancement. Appriss will update this ticket as that work progresses.</t>
        </is>
      </c>
      <c r="J58"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
9/14/2026 - Accepted as a change request. The confirmation screen on the assign path is current behaviour by design, so adding it goes through product rather than as a fix.</t>
        </is>
      </c>
    </row>
    <row r="59" ht="160" customHeight="1" s="24">
      <c r="A59" s="57" t="inlineStr">
        <is>
          <t>RCS-28910</t>
        </is>
      </c>
      <c r="B59" s="58" t="inlineStr">
        <is>
          <t>New case type cannot be closed and its workbench view differs</t>
        </is>
      </c>
      <c r="C59" s="58" t="inlineStr">
        <is>
          <t>Closed</t>
        </is>
      </c>
      <c r="D59" s="66" t="inlineStr">
        <is>
          <t>Resolved</t>
        </is>
      </c>
      <c r="E59" s="58" t="inlineStr">
        <is>
          <t>Vedant Shirude</t>
        </is>
      </c>
      <c r="F59" s="60" t="n">
        <v>46279</v>
      </c>
      <c r="G59" s="60" t="n">
        <v>46282</v>
      </c>
      <c r="H59" s="58" t="inlineStr">
        <is>
          <t>The Elevator Entrapment case type was created shortly before the move to the new URL and two things do not behave like the other case types. A case of that type cannot be closed from the workbench under Update Status, even though the workflow allows it. The workbench for that type also does not show the side bar or the case information bar that other types show. Raised 9/14 with screenshots.</t>
        </is>
      </c>
      <c r="I59" s="58" t="inlineStr">
        <is>
          <t>The Elevator Entrapment case type now carries the side bar and the case information bar that the other case types show, and Update Status from the workbench now offers both Case Completed and Closed. Leigh Ann verified both on 9/16 and agreed on 9/17 that the ticket could close. The error that appears when adding a person to a case is tracked on RCS-28683 and continues there.</t>
        </is>
      </c>
      <c r="J59" s="58" t="inlineStr">
        <is>
          <t>Ticket opened 9/14/2026
9/14/2026 - No ability to close the case from the workbench, and the workbench is missing the side bar and case info bar that another case type has.
9/15/2026 - Appriss took ownership and started the investigation.
9/16/2026 - Side bar and case information bar added to the workbench for this case type, and Update Status now allows the case to be completed as well as closed.
9/17/2026 - Ahold confirmed the case type behaves correctly and agreed to close. The error when adding a person to a case moves to RCS-28683.</t>
        </is>
      </c>
    </row>
    <row r="60" ht="280" customHeight="1" s="24">
      <c r="A60" s="61" t="inlineStr">
        <is>
          <t>RCS-29059</t>
        </is>
      </c>
      <c r="B60" s="62" t="inlineStr">
        <is>
          <t>Associated indicator not showing on the quick receipt</t>
        </is>
      </c>
      <c r="C60" s="62" t="inlineStr">
        <is>
          <t>Completed</t>
        </is>
      </c>
      <c r="D60" s="66" t="inlineStr">
        <is>
          <t>Resolved</t>
        </is>
      </c>
      <c r="E60" s="62" t="inlineStr">
        <is>
          <t>Vedant Shirude</t>
        </is>
      </c>
      <c r="F60" s="63" t="n">
        <v>46287</v>
      </c>
      <c r="G60" s="63" t="n">
        <v>46300</v>
      </c>
      <c r="H60" s="62" t="inlineStr">
        <is>
          <t>The Associated indicator on the quick receipt is not marking transactions that already sit in an investigation. Ahold raised it while reviewing work items that appear to duplicate because of the date range behind them. Ahold reports the same behaviour on the Ahold instance and has an earlier screenshot showing the indicator working there. Raised 9/22 with a video.</t>
        </is>
      </c>
      <c r="I60" s="62" t="inlineStr">
        <is>
          <t>The Associated indicator now marks transactions that sit in an investigation. Ahold validated it on 10/2 and confirmed on 10/5 that it shows correctly, and the ticket closed the same day.</t>
        </is>
      </c>
      <c r="J60" s="62" t="inlineStr">
        <is>
          <t>Ticket opened 9/22/2026
9/22/2026 - A transaction that sits in an investigation is not indicated as Associated on the quick receipt. The same behaviour shows on the Ahold instance, and an earlier screenshot shows the indicator working there.
9/30/2026 - The Associated flag should show that a transaction was already identified by another user, even when that investigation was not shared.
9/30/2026 - Appriss turned the setting back on for Delhaize and Ahold and asked the team to verify.
10/5/2026 - Confirmed the Associated tab is showing correctly again.</t>
        </is>
      </c>
    </row>
    <row r="61" ht="115" customHeight="1" s="24">
      <c r="A61" s="57" t="inlineStr">
        <is>
          <t>RCS-29108</t>
        </is>
      </c>
      <c r="B61" s="58" t="inlineStr">
        <is>
          <t>Reassigned user not notified, repeated emails on one case</t>
        </is>
      </c>
      <c r="C61" s="58" t="inlineStr">
        <is>
          <t>Work in progress</t>
        </is>
      </c>
      <c r="D61" s="59" t="inlineStr">
        <is>
          <t>Active with Appriss</t>
        </is>
      </c>
      <c r="E61" s="58" t="inlineStr">
        <is>
          <t>Vedant Shirude</t>
        </is>
      </c>
      <c r="F61" s="60" t="n">
        <v>46289</v>
      </c>
      <c r="G61" s="60" t="n">
        <v>46290</v>
      </c>
      <c r="H61" s="58" t="inlineStr">
        <is>
          <t>Erica Sacre received several emails about case 2026-Food Lion, LLC-1565-7 after it was assigned to her. She then assigned it to Stephanie Jenkins, who received no notification. Ahold has not heard of other users seeing this. Raised 9/24 with a screenshot.</t>
        </is>
      </c>
      <c r="I61" s="58" t="inlineStr">
        <is>
          <t>Appriss took ownership on 9/25 and is reviewing the reassignment notice and the repeated emails on that case separately, since each email comes from a different part of the platform.</t>
        </is>
      </c>
      <c r="J61" s="58" t="inlineStr">
        <is>
          <t>Ticket opened 9/24/2026
9/24/2026 - Erica Sacre received various emails on the same case after she was assigned. Stephanie Jenkins did not receive any notification when the case was assigned to her.</t>
        </is>
      </c>
    </row>
    <row r="62" ht="175" customHeight="1" s="24">
      <c r="A62" s="61" t="inlineStr">
        <is>
          <t>RCS-29131</t>
        </is>
      </c>
      <c r="B62" s="62" t="inlineStr">
        <is>
          <t>Users unable to add items to a case</t>
        </is>
      </c>
      <c r="C62" s="62" t="inlineStr">
        <is>
          <t>Work in progress</t>
        </is>
      </c>
      <c r="D62" s="65" t="inlineStr">
        <is>
          <t>Awaiting Ahold input</t>
        </is>
      </c>
      <c r="E62" s="62" t="inlineStr">
        <is>
          <t>Vedant Shirude</t>
        </is>
      </c>
      <c r="F62" s="63" t="n">
        <v>46290</v>
      </c>
      <c r="G62" s="63" t="n">
        <v>46303</v>
      </c>
      <c r="H62" s="62" t="inlineStr">
        <is>
          <t>Users report they cannot add items to a case. Leigh Ann could add them from the workbench and is checking why it does not work inside the case itself. She also notes the item wording on the entry page differs from Items Involved on the workbench. Raised 9/25 with a screenshot and a video.</t>
        </is>
      </c>
      <c r="I62" s="62" t="inlineStr">
        <is>
          <t>The same user can add items to a case from another computer and from a tablet using the same browser, which points to something on that one machine rather than to the account or the case. Appriss sent the steps to try on 10/8 and Ahold passed them to the user. Appriss is waiting on what the user reports back.</t>
        </is>
      </c>
      <c r="J62" s="62" t="inlineStr">
        <is>
          <t>Ticket opened 9/25/2026
9/25/2026 - Users are having issues adding items to a case. Adding from the workbench works. There is a difference in terminology between the entry pages and Items Involved on the workbench.
9/28/2026 - Appriss asked for the case type and a sample case number.
10/8/2026 - Information sent to the user to try the recommendations, and the user has been asked to report back.</t>
        </is>
      </c>
    </row>
    <row r="63" ht="145" customHeight="1" s="24">
      <c r="A63" s="57" t="inlineStr">
        <is>
          <t>RCS-29163</t>
        </is>
      </c>
      <c r="B63" s="58" t="inlineStr">
        <is>
          <t>Add Merchandise button not responding on a shoplifting case</t>
        </is>
      </c>
      <c r="C63" s="58" t="inlineStr">
        <is>
          <t>Closed</t>
        </is>
      </c>
      <c r="D63" s="66" t="inlineStr">
        <is>
          <t>Resolved</t>
        </is>
      </c>
      <c r="E63" s="58" t="inlineStr">
        <is>
          <t>Diego Buelvas</t>
        </is>
      </c>
      <c r="F63" s="60" t="n">
        <v>46294</v>
      </c>
      <c r="G63" s="60" t="n">
        <v>46296</v>
      </c>
      <c r="H63" s="58" t="inlineStr">
        <is>
          <t>Marcus Banks cannot add merchandise to shoplifting case 2026-THE STOP &amp; SHOP SUPERMARKET COMPANY LLC-0851-88. The button does not respond when clicked. Raised 9/29.</t>
        </is>
      </c>
      <c r="I63" s="58" t="inlineStr">
        <is>
          <t>The user is able to add items to an incident report again. Ahold confirmed on 10/1 that everything works, and the ticket closed the same day.</t>
        </is>
      </c>
      <c r="J63" s="58" t="inlineStr">
        <is>
          <t>Ticket opened 9/29/2026
9/29/2026 - Marcus Banks is unable to click the button to add merchandise. The button is not responding.
9/30/2026 - Appriss asked for a recording of the steps, the browser and the window size used.
10/1/2026 - User has confirmed that everything is great and he is able to add items.</t>
        </is>
      </c>
    </row>
    <row r="64" ht="160" customHeight="1" s="24">
      <c r="A64" s="61" t="inlineStr">
        <is>
          <t>RCS-29164</t>
        </is>
      </c>
      <c r="B64" s="62" t="inlineStr">
        <is>
          <t>Error when adding an additional subject to a case</t>
        </is>
      </c>
      <c r="C64" s="62" t="inlineStr">
        <is>
          <t>Work in progress</t>
        </is>
      </c>
      <c r="D64" s="59" t="inlineStr">
        <is>
          <t>Active with Appriss</t>
        </is>
      </c>
      <c r="E64" s="62" t="inlineStr">
        <is>
          <t>Edwin Garzon</t>
        </is>
      </c>
      <c r="F64" s="63" t="n">
        <v>46294</v>
      </c>
      <c r="G64" s="63" t="n">
        <v>46294</v>
      </c>
      <c r="H64" s="62" t="inlineStr">
        <is>
          <t>Eric Hanson receives an error screen after completing a case on the workbench and clicking Add to enter an additional subject. He selects Return Home and edits the second entry page to add the suspect's information. Examples 2026-HANNAFORD BROS. CO., LLC 8377-136 and 8377-137. Raised 9/29.</t>
        </is>
      </c>
      <c r="I64" s="62" t="inlineStr">
        <is>
          <t>Jim confirmed on 9/29 the error was a 404, seen on 9/25 between 5:10 and 5:15 PM. That is the same error as RCS-28683, where the fix is in development, and Appriss is reviewing it against that ticket. The Return Home workaround on RCS-28683 applies here as well.</t>
        </is>
      </c>
      <c r="J64" s="62" t="inlineStr">
        <is>
          <t>Ticket opened 9/29/2026
9/29/2026 - Error when adding an additional subject after clicking Add on the workbench. The user returns home and edits the second entry page to add the suspect's information.
9/29/2026 - Error seen on 9/25 between 5:10 and 5:15 PM. Error Code 404.</t>
        </is>
      </c>
    </row>
    <row r="65" ht="165" customHeight="1" s="24">
      <c r="A65" s="57" t="inlineStr">
        <is>
          <t>RCS-29234</t>
        </is>
      </c>
      <c r="B65" s="58" t="inlineStr">
        <is>
          <t>Cases not saving and entered data lost</t>
        </is>
      </c>
      <c r="C65" s="58" t="inlineStr">
        <is>
          <t>Accepted into Development</t>
        </is>
      </c>
      <c r="D65" s="59" t="inlineStr">
        <is>
          <t>Active with Appriss</t>
        </is>
      </c>
      <c r="E65" s="58" t="inlineStr">
        <is>
          <t>Shandana Khan</t>
        </is>
      </c>
      <c r="F65" s="60" t="n">
        <v>46296</v>
      </c>
      <c r="G65" s="60" t="n">
        <v>46303</v>
      </c>
      <c r="H65" s="58" t="inlineStr">
        <is>
          <t>After entering data into a case and clicking Save, the system stalled, returned to the case screen and lost everything entered. It affected many users across many case types. Raised 10/1.</t>
        </is>
      </c>
      <c r="I65" s="58" t="inlineStr">
        <is>
          <t>The application was restored on 10/2 and no further reports have come in on the ticket since. Engineering accepted the case into development and confirmed on 10/8 that cases save without problems in the test environment. Appriss will update this ticket as that work progresses.</t>
        </is>
      </c>
      <c r="J65" s="58" t="inlineStr">
        <is>
          <t>Ticket opened 10/1/2026
10/1/2026 - After entering data into a case, clicking Save stalls and returns to the case screen with all entered data deleted. Many users and many case types.
10/6/2026 - Appriss confirmed the application was restored and no new reports had come in.</t>
        </is>
      </c>
    </row>
    <row r="66" ht="147" customHeight="1" s="24">
      <c r="A66" s="35" t="inlineStr">
        <is>
          <t>Attachments and file handling</t>
        </is>
      </c>
    </row>
    <row r="67" ht="21.75" customHeight="1" s="24">
      <c r="A67" s="36" t="inlineStr">
        <is>
          <t>RCS-28025</t>
        </is>
      </c>
      <c r="B67" s="37" t="inlineStr">
        <is>
          <t>Unable to view Attachments</t>
        </is>
      </c>
      <c r="C67" s="37" t="inlineStr">
        <is>
          <t>Closed</t>
        </is>
      </c>
      <c r="D67" s="38" t="inlineStr">
        <is>
          <t>Resolved</t>
        </is>
      </c>
      <c r="E67" s="37" t="inlineStr">
        <is>
          <t>Viraj Kansara</t>
        </is>
      </c>
      <c r="F67" s="39" t="n">
        <v>46232</v>
      </c>
      <c r="G67" s="39" t="n">
        <v>46246</v>
      </c>
      <c r="H67"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67" s="37" t="inlineStr">
        <is>
          <t>The filename handling fix reached production on 8/6 and ADUSA confirmed files open. Closed. Remaining attachment work is tracked under RCS-28124 and RCS-28535.</t>
        </is>
      </c>
      <c r="J67" s="37" t="inlineStr">
        <is>
          <t>8/6/2026 - Resolved.</t>
        </is>
      </c>
    </row>
    <row r="68" ht="180.75" customHeight="1" s="24">
      <c r="A68" s="40" t="inlineStr">
        <is>
          <t>RCS-28124</t>
        </is>
      </c>
      <c r="B68" s="41" t="inlineStr">
        <is>
          <t>Certain attachments not visible</t>
        </is>
      </c>
      <c r="C68" s="41" t="inlineStr">
        <is>
          <t>Closed</t>
        </is>
      </c>
      <c r="D68" s="38" t="inlineStr">
        <is>
          <t>Resolved</t>
        </is>
      </c>
      <c r="E68" s="41" t="inlineStr">
        <is>
          <t>Juan Martinez</t>
        </is>
      </c>
      <c r="F68" s="42" t="n">
        <v>46237</v>
      </c>
      <c r="G68" s="42" t="n">
        <v>46257</v>
      </c>
      <c r="H68" s="41" t="inlineStr">
        <is>
          <t>PDF and MOV attachments were not visible where JPEG was. Closed 8/11, reopened 8/13 when Hannaford reported it still could not attach videos and was getting a Forbidden message. Viewing and downloading were restored, and uploading remained the open part.</t>
        </is>
      </c>
      <c r="I68"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68"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69" ht="90" customHeight="1" s="24">
      <c r="A69" s="36" t="inlineStr">
        <is>
          <t>RCS-28535</t>
        </is>
      </c>
      <c r="B69" s="37" t="inlineStr">
        <is>
          <t>Unable to upload attachments, Forbidden error</t>
        </is>
      </c>
      <c r="C69" s="37" t="inlineStr">
        <is>
          <t>Closed</t>
        </is>
      </c>
      <c r="D69" s="49" t="inlineStr">
        <is>
          <t>Resolved</t>
        </is>
      </c>
      <c r="E69" s="37" t="inlineStr">
        <is>
          <t>Edwin Garzon</t>
        </is>
      </c>
      <c r="F69" s="39" t="n">
        <v>46257</v>
      </c>
      <c r="G69" s="39" t="n">
        <v>46273</v>
      </c>
      <c r="H69"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69"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69"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70" ht="190" customHeight="1" s="24">
      <c r="A70" s="61" t="inlineStr">
        <is>
          <t>RCS-29042</t>
        </is>
      </c>
      <c r="B70" s="62" t="inlineStr">
        <is>
          <t>Attachments tab returns an error on one case</t>
        </is>
      </c>
      <c r="C70" s="62" t="inlineStr">
        <is>
          <t>Closed</t>
        </is>
      </c>
      <c r="D70" s="66" t="inlineStr">
        <is>
          <t>Resolved</t>
        </is>
      </c>
      <c r="E70" s="62" t="inlineStr">
        <is>
          <t>Vedant Shirude</t>
        </is>
      </c>
      <c r="F70" s="63" t="n">
        <v>46287</v>
      </c>
      <c r="G70" s="63" t="n">
        <v>46300</v>
      </c>
      <c r="H70" s="62" t="inlineStr">
        <is>
          <t>Opening the attachments tab on case 2026-FOOD LION, LLC-1586-2 returns an error. The same tab opens correctly on a different case, so the behaviour looks specific to that case rather than to the tab itself. Ahold asks what is happening with that case number and whether the case should be deleted and redone. Raised 9/22 with a screenshot.</t>
        </is>
      </c>
      <c r="I70" s="62" t="inlineStr">
        <is>
          <t>Appriss corrected the record behind that case and Leigh Ann confirmed on 10/5 that every attachment type on it opens correctly. The ticket closed the same day.</t>
        </is>
      </c>
      <c r="J70" s="62" t="inlineStr">
        <is>
          <t>Ticket opened 9/22/2026
9/22/2026 - The attachments tab returns an error on this case. A different case opens its attachments without trouble. What is going on with that case number, and should it be deleted and the case redone?
9/24/2026 - Appriss corrected the attachment entry on the case and asked Ahold to confirm the tab opens.
10/5/2026 - I went to the case and I was able to open all the attachment types within this case. It appears that the issue with this case is resolved.</t>
        </is>
      </c>
    </row>
    <row r="71" ht="150" customHeight="1" s="24">
      <c r="A71" s="57" t="inlineStr">
        <is>
          <t>RCS-29335</t>
        </is>
      </c>
      <c r="B71" s="58" t="inlineStr">
        <is>
          <t>Forbidden message when attaching photos from one phone model</t>
        </is>
      </c>
      <c r="C71" s="58" t="inlineStr">
        <is>
          <t>Closed</t>
        </is>
      </c>
      <c r="D71" s="66" t="inlineStr">
        <is>
          <t>Resolved</t>
        </is>
      </c>
      <c r="E71" s="58" t="inlineStr">
        <is>
          <t>Diego Buelvas</t>
        </is>
      </c>
      <c r="F71" s="60" t="n">
        <v>46302</v>
      </c>
      <c r="G71" s="60" t="n">
        <v>46303</v>
      </c>
      <c r="H71" s="58" t="inlineStr">
        <is>
          <t>A user could not upload photos taken on one model of phone and received a forbidden message, while photos from other phones uploaded without trouble. Raised 10/7.</t>
        </is>
      </c>
      <c r="I71" s="58" t="inlineStr">
        <is>
          <t>Appriss came back with what was behind the message and what the user can do about it, and Ahold asked on 10/8 to close the ticket.</t>
        </is>
      </c>
      <c r="J71" s="58" t="inlineStr">
        <is>
          <t>Ticket opened 10/7/2026
10/7/2026 - Anytime I try to upload pictures taken with this phone into LPMS it says forbidden. Pictures from a different phone upload without issue.
10/8/2026 - Please close this ticket.</t>
        </is>
      </c>
    </row>
    <row r="72" ht="88.5" customHeight="1" s="24">
      <c r="A72" s="35" t="inlineStr">
        <is>
          <t>Reporting and exports</t>
        </is>
      </c>
    </row>
    <row r="73" ht="140.25" customHeight="1" s="24">
      <c r="A73" s="36" t="inlineStr">
        <is>
          <t>RCS-28021</t>
        </is>
      </c>
      <c r="B73" s="37" t="inlineStr">
        <is>
          <t>Unable to use Izenda</t>
        </is>
      </c>
      <c r="C73" s="37" t="inlineStr">
        <is>
          <t>Closed</t>
        </is>
      </c>
      <c r="D73" s="38" t="inlineStr">
        <is>
          <t>Resolved</t>
        </is>
      </c>
      <c r="E73" s="37" t="inlineStr">
        <is>
          <t>Juan Martinez</t>
        </is>
      </c>
      <c r="F73" s="39" t="n">
        <v>46232</v>
      </c>
      <c r="G73" s="39" t="n">
        <v>46261</v>
      </c>
      <c r="H73" s="37" t="inlineStr">
        <is>
          <t>Two live problems. Export to Excel produced no file and no error, and reports did not return new data after 7/28. A report configuration error was corrected on 7/31 and that did not address either of these.</t>
        </is>
      </c>
      <c r="I73"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73"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74" ht="21.75" customHeight="1" s="24">
      <c r="A74" s="40" t="inlineStr">
        <is>
          <t>RCS-28161</t>
        </is>
      </c>
      <c r="B74" s="41" t="inlineStr">
        <is>
          <t>Unable to export files from the platform to make lineup changes</t>
        </is>
      </c>
      <c r="C74" s="41" t="inlineStr">
        <is>
          <t>Closed</t>
        </is>
      </c>
      <c r="D74" s="38" t="inlineStr">
        <is>
          <t>Resolved</t>
        </is>
      </c>
      <c r="E74" s="41" t="inlineStr">
        <is>
          <t>Viraj Kansara</t>
        </is>
      </c>
      <c r="F74" s="42" t="n">
        <v>46238</v>
      </c>
      <c r="G74" s="42" t="n">
        <v>46254</v>
      </c>
      <c r="H74" s="41" t="inlineStr">
        <is>
          <t>The store file export downloaded but the CSV was blank, blocking brand lineup changes. It is taken from the location search screen, the file ADUSA edits and returns by FTP for bulk location updates, and was confirmed on a screen share with ADUSA on 8/11.</t>
        </is>
      </c>
      <c r="I74" s="41" t="inlineStr">
        <is>
          <t>Appriss traced the failure to the Manage Stores export specifically, a separate path from the Izenda reporting side. The fix reached production 8/20 and the ticket was closed out.</t>
        </is>
      </c>
      <c r="J74"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75" ht="78.75" customHeight="1" s="24">
      <c r="A75" s="36" t="inlineStr">
        <is>
          <t>RCS-28413</t>
        </is>
      </c>
      <c r="B75" s="37" t="inlineStr">
        <is>
          <t>Izenda data for Central Division incorrect</t>
        </is>
      </c>
      <c r="C75" s="37" t="inlineStr">
        <is>
          <t>Closed</t>
        </is>
      </c>
      <c r="D75" s="38" t="inlineStr">
        <is>
          <t>Resolved</t>
        </is>
      </c>
      <c r="E75" s="37" t="inlineStr">
        <is>
          <t>Vedant Shirude</t>
        </is>
      </c>
      <c r="F75" s="39" t="n">
        <v>46251</v>
      </c>
      <c r="G75" s="39" t="n">
        <v>46254</v>
      </c>
      <c r="H75"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75" s="37" t="inlineStr">
        <is>
          <t>ADUSA confirmed on 8/19 that the corrected report shows the expected case count. Resolved.</t>
        </is>
      </c>
      <c r="J75" s="37" t="inlineStr">
        <is>
          <t>Ticket opened 08/17/2026
8/18/2026 - It is showing 66 cases for Central but should be around 268 as of July 27, 2026, the day prior to switch. The report is Interview Data with Source (AP REPORTS FOOD LION).
8/19/2026 - Confirmed working as expected.</t>
        </is>
      </c>
    </row>
    <row r="76" ht="120" customHeight="1" s="24">
      <c r="A76" s="40" t="inlineStr">
        <is>
          <t>RCS-28482</t>
        </is>
      </c>
      <c r="B76" s="41" t="inlineStr">
        <is>
          <t>Greyed out fields in Izenda</t>
        </is>
      </c>
      <c r="C76" s="41" t="inlineStr">
        <is>
          <t>Completed</t>
        </is>
      </c>
      <c r="D76" s="55" t="inlineStr">
        <is>
          <t>Resolved</t>
        </is>
      </c>
      <c r="E76" s="41" t="inlineStr">
        <is>
          <t>Juan Martinez</t>
        </is>
      </c>
      <c r="F76" s="42" t="n">
        <v>46253</v>
      </c>
      <c r="G76" s="42" t="n">
        <v>46274</v>
      </c>
      <c r="H76" s="41" t="inlineStr">
        <is>
          <t>On some Izenda reports the tabs at the top of the page render greyed out, which blocks changing report attributes. Reported 8/19 with a screenshot, on PBI - Current Location Listing (Jim Cosseboom Test) and Outlook Export (Jim Cosseboom Test).</t>
        </is>
      </c>
      <c r="I76"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76"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77" ht="409" customHeight="1" s="24">
      <c r="A77" s="57" t="inlineStr">
        <is>
          <t>RCS-28824</t>
        </is>
      </c>
      <c r="B77" s="58" t="inlineStr">
        <is>
          <t>Store and cashier profiles return errors on the Delhaize instance</t>
        </is>
      </c>
      <c r="C77" s="58" t="inlineStr">
        <is>
          <t>Work in progress</t>
        </is>
      </c>
      <c r="D77" s="59" t="inlineStr">
        <is>
          <t>Active with Appriss</t>
        </is>
      </c>
      <c r="E77" s="58" t="inlineStr">
        <is>
          <t>Sebastian Rueda</t>
        </is>
      </c>
      <c r="F77" s="60" t="n">
        <v>46273</v>
      </c>
      <c r="G77" s="60" t="n">
        <v>46295</v>
      </c>
      <c r="H77"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77" s="58" t="inlineStr">
        <is>
          <t>Appriss corrected the store profile and Becky confirmed the Week, Month, Quarter and Year tabs now return charts. Two points stay open. The cashier profile page returns no charts, and the area map has no store coordinates to draw on. Ahold confirmed on 9/17 that it sends a store and location file and no employee file, and that what it needs on the cashier page is for the refund, void and coupon charts to populate. Because those charts populated on the previous platform, Appriss moved the question on 9/25 to the team that owns the profile configuration.</t>
        </is>
      </c>
      <c r="J77"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
9/15/2026 - Month, Quarter and Year tabs now show charts.
9/15/2026 - The cashier profile page still returns no data, and the area map is still blank on the profile pages.
9/16/2026 - The empty cashier profile charts and the blank area map both point to missing data rather than to the pages. Referred to the data team.
9/17/2026 - We do send a location and store file, we do not send an employee file. What we need on the cashier profile page is for the charts to populate with refunds, voids and coupon history, not employee detail.
9/22/2026 - Appriss confirmed it is still working through the cashier profile charts and the area map with its data team.
9/25/2026 - Appriss moved the cashier profile question to the team that owns the profile configuration.
9/30/2026 - Appriss is confirming with its data team whether the cashier profile charts depend on an employee file.</t>
        </is>
      </c>
    </row>
    <row r="78" ht="135" customHeight="1" s="24">
      <c r="A78" s="61" t="inlineStr">
        <is>
          <t>RCS-28944</t>
        </is>
      </c>
      <c r="B78" s="62" t="inlineStr">
        <is>
          <t>Field mappings lost on a rebuilt location listing report</t>
        </is>
      </c>
      <c r="C78" s="62" t="inlineStr">
        <is>
          <t>Closed</t>
        </is>
      </c>
      <c r="D78" s="66" t="inlineStr">
        <is>
          <t>Resolved</t>
        </is>
      </c>
      <c r="E78" s="62" t="inlineStr">
        <is>
          <t>Vlad Bogus</t>
        </is>
      </c>
      <c r="F78" s="63" t="n">
        <v>46280</v>
      </c>
      <c r="G78" s="63" t="n">
        <v>46281</v>
      </c>
      <c r="H78" s="62" t="inlineStr">
        <is>
          <t>A location listing report was rebuilt and the mappings that turn binary values into readable text no longer work. The example given is the Inactive field, which should read Active when the value is zero and Inactive otherwise. Ahold has tried to recreate the mappings without success and asks for help setting them up. Raised 9/15.</t>
        </is>
      </c>
      <c r="I78" s="62" t="inlineStr">
        <is>
          <t>Appriss walked Ahold through rebuilding the mapping on the report column so it reads Active when the value is zero and Inactive otherwise. Jim confirmed on 9/16 that the report returns the expected text, and the ticket closed the same day.</t>
        </is>
      </c>
      <c r="J78" s="62" t="inlineStr">
        <is>
          <t>Ticket opened 9/15/2026
9/15/2026 - Rebuilt a location listing report and the mappings from binary results to text need to be recreated. One example is Inactive, which should read Active if the value is 0 and Inactive otherwise.
9/16/2026 - Appriss provided the steps to rebuild the mapping on the report column.
9/16/2026 - That worked, thank you.</t>
        </is>
      </c>
    </row>
    <row r="79" ht="175" customHeight="1" s="24">
      <c r="A79" s="57" t="inlineStr">
        <is>
          <t>RCS-29000</t>
        </is>
      </c>
      <c r="B79" s="58" t="inlineStr">
        <is>
          <t>Percent columns round inconsistently on a saved report</t>
        </is>
      </c>
      <c r="C79" s="58" t="inlineStr">
        <is>
          <t>Accepted into Development</t>
        </is>
      </c>
      <c r="D79" s="59" t="inlineStr">
        <is>
          <t>Active with Appriss</t>
        </is>
      </c>
      <c r="E79" s="58" t="inlineStr">
        <is>
          <t>Shandana Khan</t>
        </is>
      </c>
      <c r="F79" s="60" t="n">
        <v>46283</v>
      </c>
      <c r="G79" s="60" t="n">
        <v>46287</v>
      </c>
      <c r="H79" s="58" t="inlineStr">
        <is>
          <t>Percent columns on a front end report showed two decimal places until new columns were added to it. Since then one or two of those columns inconsistently return more than two decimals, and the column that behaves that way changes between runs of the same saved search, for the same store and for different stores. Ahold asks whether the rounding can be set on the fields or whether the behaviour comes from the application. Raised 9/18 with screenshots.</t>
        </is>
      </c>
      <c r="I79" s="58" t="inlineStr">
        <is>
          <t>Appriss reproduced the behaviour on the report. Running the same saved search without changing it returns one or two of the four calculated percent columns without the two decimal setting, and the column that behaves that way changes between runs. The values themselves are arithmetically correct, what varies is how they are presented, and the grid and the export behave the same way column for column. Engineering accepted the case into development on 9/22. Appriss will update this ticket as that work progresses.</t>
        </is>
      </c>
      <c r="J79" s="58" t="inlineStr">
        <is>
          <t>Ticket opened 9/18/2026
9/18/2026 - Percent columns used to show two decimal places. After new columns were added, one or two of them inconsistently show more than two, and the affected column changes from run to run. Is this the application, or is there a way to set the rounding on these fields?
9/21/2026 - Appriss reproduced the behaviour across repeated runs of the unchanged search and passed the case to engineering for review.
9/22/2026 - Engineering accepted the case into development.</t>
        </is>
      </c>
    </row>
    <row r="80" ht="295" customHeight="1" s="24">
      <c r="A80" s="61" t="inlineStr">
        <is>
          <t>RCS-29057</t>
        </is>
      </c>
      <c r="B80" s="62" t="inlineStr">
        <is>
          <t>Narrative missing from the LP External Doc</t>
        </is>
      </c>
      <c r="C80" s="62" t="inlineStr">
        <is>
          <t>Completed</t>
        </is>
      </c>
      <c r="D80" s="66" t="inlineStr">
        <is>
          <t>Resolved</t>
        </is>
      </c>
      <c r="E80" s="62" t="inlineStr">
        <is>
          <t>Juan Martinez</t>
        </is>
      </c>
      <c r="F80" s="63" t="n">
        <v>46287</v>
      </c>
      <c r="G80" s="63" t="n">
        <v>46290</v>
      </c>
      <c r="H80" s="62" t="inlineStr">
        <is>
          <t>The narrative is not appearing on the LP External Doc. Ahold notes the same behaviour was addressed under RCS-22886 last year and appears to have returned. The ticket does not name a specific case. Raised 9/22.</t>
        </is>
      </c>
      <c r="I80" s="62" t="inlineStr">
        <is>
          <t>Ahold sent case 2026-Ahold Delhaize USA Services LLC-9999-278 on 9/23. On Identification Request cases the text sat in Synopsis, which the workbench notes does not print on the document. Appriss added the narrative box at the top of Report Narrative for Identification Request on 9/24, so the narrative prints on new cases. For an existing case, copying the Synopsis text into that top box and saving brings it through. Leigh Ann confirmed on 9/25 that this is expected behaviour and the ticket closed the same day.</t>
        </is>
      </c>
      <c r="J80" s="62" t="inlineStr">
        <is>
          <t>Ticket opened 9/22/2026
9/22/2026 - Narrative is missing from the LP External Doc. This was addressed under RCS-22886 last year and appears to be an issue again.
9/22/2026 - Appriss asked for the case number where the narrative is not showing, so that case can be pulled up directly.
9/23/2026 - Case 2026-Ahold Delhaize USA Services LLC-9999-278.
9/25/2026 - That makes perfect sense. The workbench states that Synopsis will not print on the document.
9/25/2026 - Closed in Jira as resolved.</t>
        </is>
      </c>
    </row>
    <row r="81" ht="165" customHeight="1" s="24">
      <c r="A81" s="57" t="inlineStr">
        <is>
          <t>RCS-29285</t>
        </is>
      </c>
      <c r="B81" s="58" t="inlineStr">
        <is>
          <t>Bulk export appeared to return only one day of a date range</t>
        </is>
      </c>
      <c r="C81" s="58" t="inlineStr">
        <is>
          <t>Closed</t>
        </is>
      </c>
      <c r="D81" s="66" t="inlineStr">
        <is>
          <t>Resolved</t>
        </is>
      </c>
      <c r="E81" s="58" t="inlineStr">
        <is>
          <t>Diego Buelvas</t>
        </is>
      </c>
      <c r="F81" s="60" t="n">
        <v>46300</v>
      </c>
      <c r="G81" s="60" t="n">
        <v>46300</v>
      </c>
      <c r="H81" s="58" t="inlineStr">
        <is>
          <t>A bulk export of a saved search run over a four day range appeared to contain only the most recent day, while running the individual days returned data. Raised 10/5.</t>
        </is>
      </c>
      <c r="I81" s="58" t="inlineStr">
        <is>
          <t>Appriss reviewed the export and confirmed it carries the full range. The dates in the file are held as text, so filtering on that column in the spreadsheet does not list every value. Ahold confirmed the same day and the ticket closed.</t>
        </is>
      </c>
      <c r="J81" s="58" t="inlineStr">
        <is>
          <t>Ticket opened 10/5/2026
10/5/2026 - A bulk export for 10/2 to 10/5 appears to include only 10/4.
10/5/2026 - Confirmed the export is correct. The end date is formatted as text, so the filter did not show all values.</t>
        </is>
      </c>
    </row>
    <row r="82" ht="101.25" customHeight="1" s="24">
      <c r="A82" s="35" t="inlineStr">
        <is>
          <t>Performance and timeouts</t>
        </is>
      </c>
    </row>
    <row r="83" ht="21.75" customHeight="1" s="24">
      <c r="A83" s="36" t="inlineStr">
        <is>
          <t>RCS-28075</t>
        </is>
      </c>
      <c r="B83" s="37" t="inlineStr">
        <is>
          <t>Users are experiencing Time Outs</t>
        </is>
      </c>
      <c r="C83" s="37" t="inlineStr">
        <is>
          <t>Closed</t>
        </is>
      </c>
      <c r="D83" s="38" t="inlineStr">
        <is>
          <t>Resolved</t>
        </is>
      </c>
      <c r="E83" s="37" t="inlineStr">
        <is>
          <t>Vedant Shirude</t>
        </is>
      </c>
      <c r="F83" s="39" t="n">
        <v>46233</v>
      </c>
      <c r="G83" s="39" t="n">
        <v>46247</v>
      </c>
      <c r="H83" s="37" t="inlineStr">
        <is>
          <t>Central Station associates were timed out of the application and had to close and re-enter to keep working. Two administrators were separately found to be missing the Administrators permission group and several baseline groups.</t>
        </is>
      </c>
      <c r="I83" s="37" t="inlineStr">
        <is>
          <t>The permission groups were restored and database indexing improvements were deployed on 8/6. Closed on 8/11. The session timeout is 60 minutes and can be raised on request.</t>
        </is>
      </c>
      <c r="J83" s="37" t="inlineStr">
        <is>
          <t>8/11/2026 - Resolved</t>
        </is>
      </c>
    </row>
    <row r="84" ht="63" customHeight="1" s="24">
      <c r="A84" s="40" t="inlineStr">
        <is>
          <t>RCS-28353</t>
        </is>
      </c>
      <c r="B84" s="41" t="inlineStr">
        <is>
          <t>Error 502 when updating store information</t>
        </is>
      </c>
      <c r="C84" s="41" t="inlineStr">
        <is>
          <t>Closed</t>
        </is>
      </c>
      <c r="D84" s="38" t="inlineStr">
        <is>
          <t>Resolved</t>
        </is>
      </c>
      <c r="E84" s="41" t="inlineStr">
        <is>
          <t>Juan Martinez</t>
        </is>
      </c>
      <c r="F84" s="42" t="n">
        <v>46247</v>
      </c>
      <c r="G84" s="42" t="n">
        <v>46258</v>
      </c>
      <c r="H84" s="41" t="inlineStr">
        <is>
          <t>Updating a name in the store profile returned a 502 error, alongside general slowness. The error occurred specifically when adding a manager to the store record, where the lookup against the employee data was slow to return.</t>
        </is>
      </c>
      <c r="I84"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84" s="41" t="inlineStr">
        <is>
          <t>Ticket opened 8/13/2026
8/18/2026 - To be retested following the 8/17 release.
8/21/2026 - Store profile update is working following the performance fixes in production.
8/24/2026 - Tested repeatedly on Friday with no failures and faster than before.</t>
        </is>
      </c>
    </row>
    <row r="85" ht="102.75" customHeight="1" s="24">
      <c r="A85" s="36" t="inlineStr">
        <is>
          <t>RCS-28356</t>
        </is>
      </c>
      <c r="B85" s="37" t="inlineStr">
        <is>
          <t>Users are experiencing sluggishness of the system</t>
        </is>
      </c>
      <c r="C85" s="37" t="inlineStr">
        <is>
          <t>Closed</t>
        </is>
      </c>
      <c r="D85" s="38" t="inlineStr">
        <is>
          <t>Resolved</t>
        </is>
      </c>
      <c r="E85" s="37" t="inlineStr">
        <is>
          <t>Camila Cortes</t>
        </is>
      </c>
      <c r="F85" s="39" t="n">
        <v>46247</v>
      </c>
      <c r="G85" s="39" t="n">
        <v>46265</v>
      </c>
      <c r="H85" s="37" t="inlineStr">
        <is>
          <t>Moving around the platform was slower than expected, with 502 responses occurring alongside the slowness. The Hannaford brand reported long page open times needing repeated refreshes. Appriss saw the same performance behavior on its side.</t>
        </is>
      </c>
      <c r="I85"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85" s="37" t="inlineStr">
        <is>
          <t>Ticket opened 8/13/2026
8/18/2026 - No 502 errors this morning but experiencing a lot of latency moving from one page to the next.
8/24/2026 - No issues since the Thursday deployment, tested under poor network conditions.</t>
        </is>
      </c>
    </row>
    <row r="86" ht="60.75" customHeight="1" s="24">
      <c r="A86" s="40" t="inlineStr">
        <is>
          <t>RCS-28407</t>
        </is>
      </c>
      <c r="B86" s="41" t="inlineStr">
        <is>
          <t>502 error frequently received while using the platform</t>
        </is>
      </c>
      <c r="C86" s="41" t="inlineStr">
        <is>
          <t>Closed</t>
        </is>
      </c>
      <c r="D86" s="38" t="inlineStr">
        <is>
          <t>Resolved</t>
        </is>
      </c>
      <c r="E86" s="41" t="inlineStr">
        <is>
          <t>Edwin Garzon</t>
        </is>
      </c>
      <c r="F86" s="42" t="n">
        <v>46251</v>
      </c>
      <c r="G86" s="42" t="n">
        <v>46259</v>
      </c>
      <c r="H86" s="41" t="inlineStr">
        <is>
          <t>Users frequently received a 502 error while performing a range of functions in LPMS. It was not limited to one process. Raised 8/17 with a screenshot.</t>
        </is>
      </c>
      <c r="I86"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86" s="41" t="inlineStr">
        <is>
          <t>Ticket opened 08/17/2026
8/18/2026 - 502 errors received this morning, detail provided on the ticket.
8/19/2026 - New example provided from the Locations tab.
8/24/2026 - Considered resolved following the Thursday deployment.</t>
        </is>
      </c>
    </row>
    <row r="87" ht="120" customHeight="1" s="24">
      <c r="A87" s="57" t="inlineStr">
        <is>
          <t>RCS-29202</t>
        </is>
      </c>
      <c r="B87" s="58" t="inlineStr">
        <is>
          <t>Systemwide slowness on the Delhaize instance</t>
        </is>
      </c>
      <c r="C87" s="58" t="inlineStr">
        <is>
          <t>Closed</t>
        </is>
      </c>
      <c r="D87" s="66" t="inlineStr">
        <is>
          <t>Resolved</t>
        </is>
      </c>
      <c r="E87" s="58" t="inlineStr">
        <is>
          <t>Camila Cortes</t>
        </is>
      </c>
      <c r="F87" s="60" t="n">
        <v>46295</v>
      </c>
      <c r="G87" s="60" t="n">
        <v>46296</v>
      </c>
      <c r="H87" s="58" t="inlineStr">
        <is>
          <t>Becky reported intermittent slowness for all Delhaize users on 9/30.</t>
        </is>
      </c>
      <c r="I87" s="58" t="inlineStr">
        <is>
          <t>The slowness traced to the web application servers. Appriss restarted the instances that were failing and Becky confirmed on 10/1 that the system was stable again. The ticket closed the same day.</t>
        </is>
      </c>
      <c r="J87" s="58" t="inlineStr">
        <is>
          <t>Ticket opened 9/30/2026
9/30/2026 - It does seem better now, but it was intermittent prior to opening the ticket. Let's leave this open for the day and continue to monitor.
10/1/2026 - Confirmed the system is stable again on our side.</t>
        </is>
      </c>
    </row>
    <row r="88" ht="21.75" customHeight="1" s="24">
      <c r="A88" s="35" t="inlineStr">
        <is>
          <t>Platform configuration and notifications</t>
        </is>
      </c>
    </row>
    <row r="89" ht="129" customHeight="1" s="24">
      <c r="A89" s="36" t="inlineStr">
        <is>
          <t>RCS-28030</t>
        </is>
      </c>
      <c r="B89" s="37" t="inlineStr">
        <is>
          <t>Server time needs adjusted to EST</t>
        </is>
      </c>
      <c r="C89" s="37" t="inlineStr">
        <is>
          <t>Closed</t>
        </is>
      </c>
      <c r="D89" s="38" t="inlineStr">
        <is>
          <t>Resolved</t>
        </is>
      </c>
      <c r="E89" s="37" t="inlineStr">
        <is>
          <t>Juan Martinez</t>
        </is>
      </c>
      <c r="F89" s="39" t="n">
        <v>46232</v>
      </c>
      <c r="G89" s="39" t="n">
        <v>46247</v>
      </c>
      <c r="H89" s="37" t="inlineStr">
        <is>
          <t>Timestamps on journal notes and attachment uploads showed four hours ahead of local time, because the migration defaulted user profiles to UTC rather than Eastern.</t>
        </is>
      </c>
      <c r="I89" s="37" t="inlineStr">
        <is>
          <t>Eastern time was applied across all ADUSA user accounts. Closed. If anyone still sees a four hour offset, have them sign out and back in first, then send the case number.</t>
        </is>
      </c>
      <c r="J89" s="37" t="inlineStr">
        <is>
          <t>No current report of issues. Looking at User file, it appears to be correct</t>
        </is>
      </c>
    </row>
    <row r="90" ht="189.75" customHeight="1" s="24">
      <c r="A90" s="40" t="inlineStr">
        <is>
          <t>RCS-28041</t>
        </is>
      </c>
      <c r="B90" s="41" t="inlineStr">
        <is>
          <t>Request to remove "Secure Incident Management System" from email sender display name</t>
        </is>
      </c>
      <c r="C90" s="41" t="inlineStr">
        <is>
          <t>Closed</t>
        </is>
      </c>
      <c r="D90" s="38" t="inlineStr">
        <is>
          <t>Resolved</t>
        </is>
      </c>
      <c r="E90" s="41" t="inlineStr">
        <is>
          <t>Viraj Kansara</t>
        </is>
      </c>
      <c r="F90" s="42" t="n">
        <v>46232</v>
      </c>
      <c r="G90" s="42" t="n">
        <v>46238</v>
      </c>
      <c r="H90" s="41" t="inlineStr">
        <is>
          <t>Notification emails display as Secure Incident Management System followed by the sending address. ADUSA asked for the display name to be removed because Outlook rules that group mail by display name stopped working.</t>
        </is>
      </c>
      <c r="I90"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90" s="41" t="inlineStr">
        <is>
          <t>8/4/2026 - Resolved as this is a new system configuration and cannot be changed. Users will be advised of the change.</t>
        </is>
      </c>
    </row>
    <row r="91" ht="189.75" customHeight="1" s="24">
      <c r="A91" s="36" t="inlineStr">
        <is>
          <t>RCS-28109</t>
        </is>
      </c>
      <c r="B91" s="37" t="inlineStr">
        <is>
          <t>"Send to Flock" appearing as an action item on case closure</t>
        </is>
      </c>
      <c r="C91" s="37" t="inlineStr">
        <is>
          <t>Completed</t>
        </is>
      </c>
      <c r="D91" s="38" t="inlineStr">
        <is>
          <t>Resolved</t>
        </is>
      </c>
      <c r="E91" s="37" t="inlineStr">
        <is>
          <t>Matthew Kamminga</t>
        </is>
      </c>
      <c r="F91" s="39" t="n">
        <v>46234</v>
      </c>
      <c r="G91" s="39" t="n">
        <v>46248</v>
      </c>
      <c r="H91" s="37" t="inlineStr">
        <is>
          <t>Since the move to the new URL, "Send to Flock" appeared as an action item when a user closed a case, and ADUSA could not remove it from the configuration directly.</t>
        </is>
      </c>
      <c r="I91" s="37" t="inlineStr">
        <is>
          <t>Removed from view on all cases on 8/14. Resolved. If it appears anywhere still, send the case number and Appriss will reopen.</t>
        </is>
      </c>
      <c r="J91" s="37" t="inlineStr">
        <is>
          <t>8/11/2026 - Appears to be resolved.</t>
        </is>
      </c>
    </row>
    <row r="92" ht="355" customHeight="1" s="24">
      <c r="A92" s="61" t="inlineStr">
        <is>
          <t>RCS-29026</t>
        </is>
      </c>
      <c r="B92" s="62" t="inlineStr">
        <is>
          <t>Smart Alert did not reach its recipients on a case</t>
        </is>
      </c>
      <c r="C92" s="62" t="inlineStr">
        <is>
          <t>Work in progress</t>
        </is>
      </c>
      <c r="D92" s="59" t="inlineStr">
        <is>
          <t>Active with Appriss</t>
        </is>
      </c>
      <c r="E92" s="62" t="inlineStr">
        <is>
          <t>Juan Martinez</t>
        </is>
      </c>
      <c r="F92" s="63" t="n">
        <v>46286</v>
      </c>
      <c r="G92" s="63" t="n">
        <v>46304</v>
      </c>
      <c r="H92" s="62" t="inlineStr">
        <is>
          <t>A Smart Alert configured for a case type did not reach Asset Protection for case 2026-FOOD LION, LLC-0619-27, which was keyed in on 9/20. Store Payments confirmed the alert did not arrive on that side either, and a recipient who is no longer on the distribution list for that case type still appears on the alert. Ahold notes this case carried a large loss and asks whether other alerts were due to fire and did not. Raised 9/21.</t>
        </is>
      </c>
      <c r="I92" s="62" t="inlineStr">
        <is>
          <t>The alert for that case did not reach its recipients because one person appeared twice on the distribution, once on the alert's own email list and once through their store role, with the two addresses written differently. Appriss reviewed every alert sent this year for the same pattern and shared on 10/9 the other cases where it appears. Ahold explained how addresses are added to a distribution list, and both sides agree that keeping each person in one place only is the way to avoid it. Appriss is working through the remaining lists.</t>
        </is>
      </c>
      <c r="J92" s="62" t="inlineStr">
        <is>
          <t>Ticket opened 9/21/2026
9/21/2026 - Asset Protection did not receive the Smart Alert for this case, and Store Payments confirmed it did not arrive on their side either. A recipient who is no longer on the distribution list for this case type still appears on the alert. Are there any more that were supposed to fire off and did not?
9/25/2026 - No alerts appear to be going out now for the Impersonation/Social Engineering case type.
9/25/2026 - The first case found without an alert was around 4:20 PM on 9/24.
9/28/2026 - Appriss confirmed both alerts from the original report are going out again and asked Ahold to confirm.
10/9/2026 - Appriss shared the other alerts where the same duplicate recipient pattern appears, and both sides agreed on keeping each person in a single place on the list.</t>
        </is>
      </c>
    </row>
    <row r="93" ht="235" customHeight="1" s="24">
      <c r="A93" s="57" t="inlineStr">
        <is>
          <t>RCS-29123</t>
        </is>
      </c>
      <c r="B93" s="58" t="inlineStr">
        <is>
          <t>Smart Alerts not going out</t>
        </is>
      </c>
      <c r="C93" s="58" t="inlineStr">
        <is>
          <t>Completed</t>
        </is>
      </c>
      <c r="D93" s="66" t="inlineStr">
        <is>
          <t>Resolved</t>
        </is>
      </c>
      <c r="E93" s="58" t="inlineStr">
        <is>
          <t>Juan Martinez</t>
        </is>
      </c>
      <c r="F93" s="60" t="n">
        <v>46290</v>
      </c>
      <c r="G93" s="60" t="n">
        <v>46302</v>
      </c>
      <c r="H93" s="58" t="inlineStr">
        <is>
          <t>Smart Alerts stopped going out for Ahold cases. Leigh Ann confirmed on 9/25 that Defrauded Customer and Shoplifting cases entered that day sent no alerts, and noted the risk of not notifying the right people if something major happened. Jim flagged it as a significant operational issue the same evening. Raised 9/25.</t>
        </is>
      </c>
      <c r="I93" s="58" t="inlineStr">
        <is>
          <t>Smart Alerts are generating again after the correction was deployed. Leigh Ann confirmed on 10/7 that an alert from the previous day reached her inbox, and the ticket closed the same day.</t>
        </is>
      </c>
      <c r="J93" s="58" t="inlineStr">
        <is>
          <t>Ticket opened 9/25/2026
9/25/2026 - Smart Alerts are not going out today. Defrauded Customer and Shoplifting incidents are not generating any alerts.
9/25/2026 - Any updates? It is becoming a significant operational issue not having them working.
9/27/2026 - Alerts for nine affected cases sent manually.
9/28/2026 - Fix deployed. Alerts confirmed arriving from about 2:30 PM.
10/7/2026 - Alert from yesterday shows as distributed to my email account, so it appears to be working.</t>
        </is>
      </c>
    </row>
    <row r="94" ht="182.25" customHeight="1" s="24">
      <c r="A94" s="35" t="inlineStr">
        <is>
          <t>Store file and location data</t>
        </is>
      </c>
    </row>
    <row r="95" ht="72" customHeight="1" s="24">
      <c r="A95" s="36" t="inlineStr">
        <is>
          <t>RCS-28588</t>
        </is>
      </c>
      <c r="B95" s="37" t="inlineStr">
        <is>
          <t>Store numbers should be 4 digits</t>
        </is>
      </c>
      <c r="C95" s="37" t="inlineStr">
        <is>
          <t>Completed</t>
        </is>
      </c>
      <c r="D95" s="38" t="inlineStr">
        <is>
          <t>Resolved</t>
        </is>
      </c>
      <c r="E95" s="37" t="inlineStr">
        <is>
          <t>Ryan Barlow</t>
        </is>
      </c>
      <c r="F95" s="39" t="n">
        <v>46260</v>
      </c>
      <c r="G95" s="39" t="n">
        <v>46261</v>
      </c>
      <c r="H95"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95"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95" s="37" t="inlineStr">
        <is>
          <t>Ticket opened 8/26/2026
8/26/2026 - LPMS had been configured not to ADD a location based on an updated location file, just to update existing locations. Can we restore this functionality?
8/27/2026 - I will move them to the correct store number.</t>
        </is>
      </c>
    </row>
    <row r="96" ht="295" customHeight="1" s="24">
      <c r="A96" s="40" t="inlineStr">
        <is>
          <t>RCS-28589</t>
        </is>
      </c>
      <c r="B96" s="41" t="inlineStr">
        <is>
          <t>Store file showing invalid characters before the numeric value</t>
        </is>
      </c>
      <c r="C96" s="41" t="inlineStr">
        <is>
          <t>Closed</t>
        </is>
      </c>
      <c r="D96" s="66" t="inlineStr">
        <is>
          <t>Resolved</t>
        </is>
      </c>
      <c r="E96" s="41" t="inlineStr">
        <is>
          <t>Aimee Wadsworth</t>
        </is>
      </c>
      <c r="F96" s="42" t="n">
        <v>46260</v>
      </c>
      <c r="G96" s="42" t="n">
        <v>46290</v>
      </c>
      <c r="H96"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96" s="41" t="inlineStr">
        <is>
          <t>The loading side was corrected earlier, with the apostrophes removed from the 432 affected records and a rule that ignores an apostrophe in EASFrequency and CCTVIPAddress on load. The export fix went out with the release on 9/24. Leigh Ann exported the Asheville/Spartanburg area to CSV the same day and confirmed the extra characters no longer appear. Closed in Jira as resolved on 9/25.</t>
        </is>
      </c>
      <c r="J96"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
9/24/2026 - Extracted the Asheville/Spartanburg area through the CSV export. The additional characters are no longer visible.
9/25/2026 - Closed in Jira as resolved.</t>
        </is>
      </c>
    </row>
    <row r="97" ht="21.75" customHeight="1" s="24">
      <c r="A97" s="36" t="inlineStr">
        <is>
          <t>RCS-28681</t>
        </is>
      </c>
      <c r="B97" s="37" t="inlineStr">
        <is>
          <t>Refund searches broken for Delhaize brand stores</t>
        </is>
      </c>
      <c r="C97" s="37" t="inlineStr">
        <is>
          <t>Closed</t>
        </is>
      </c>
      <c r="D97" s="38" t="inlineStr">
        <is>
          <t>Resolved</t>
        </is>
      </c>
      <c r="E97" s="37" t="inlineStr">
        <is>
          <t>Vlad Bogus</t>
        </is>
      </c>
      <c r="F97" s="39" t="n">
        <v>46265</v>
      </c>
      <c r="G97" s="39" t="n">
        <v>46266</v>
      </c>
      <c r="H97" s="37" t="inlineStr">
        <is>
          <t>Refund searches returned duplicate results for Delhaize brand stores after two store files loaded on the same day left a duplicate store number in the location reference table.</t>
        </is>
      </c>
      <c r="I97" s="37" t="inlineStr">
        <is>
          <t>Appriss removed the duplicate store record on 9/1 and confirmed refund searches return a single result per transaction. Ahold confirmed the same morning that the issue is resolved. Closed in Jira.</t>
        </is>
      </c>
      <c r="J97" s="37" t="inlineStr">
        <is>
          <t>Ticket opened 8/31/2026
9/1/2026 - This appears to be resolved.</t>
        </is>
      </c>
    </row>
    <row r="98" ht="150" customHeight="1" s="24">
      <c r="A98" s="61" t="inlineStr">
        <is>
          <t>RCS-28911</t>
        </is>
      </c>
      <c r="B98" s="62" t="inlineStr">
        <is>
          <t>Daily location file not processed</t>
        </is>
      </c>
      <c r="C98" s="62" t="inlineStr">
        <is>
          <t>Completed</t>
        </is>
      </c>
      <c r="D98" s="66" t="inlineStr">
        <is>
          <t>Resolved</t>
        </is>
      </c>
      <c r="E98" s="62" t="inlineStr">
        <is>
          <t>Juan Martinez</t>
        </is>
      </c>
      <c r="F98" s="63" t="n">
        <v>46279</v>
      </c>
      <c r="G98" s="63" t="n">
        <v>46281</v>
      </c>
      <c r="H98" s="62" t="inlineStr">
        <is>
          <t>The daily location update file did not process on the morning of 9/14. Ahold reports the file left its side and asks Appriss to confirm receipt. Ahold followed up the same evening and notes the file carries a large batch of store changes still to be applied in LPMS.</t>
        </is>
      </c>
      <c r="I98" s="62" t="inlineStr">
        <is>
          <t>The store and location update was not part of the load that ran on the morning of 9/14. Ahold confirmed on 9/16 that the file went out late because of server issues on its side, and that the file was picked up correctly on the next scheduled run. Jim and Leigh Ann agreed the ticket could close, and it closed the same day.</t>
        </is>
      </c>
      <c r="J98" s="62" t="inlineStr">
        <is>
          <t>Ticket opened 9/14/2026
9/14/2026 - The daily location update file was not processed this morning.
9/14/2026 - Please check to confirm you received the file. It appears to be sent from our side.
9/14/2026 - Still looking for an update on processing of the store file. There were lots of changes that needed to be updated in LPMS.
9/15/2026 - The store and location update was not part of the 9/14 run. It looks like the file arrived after that run and was picked up on the next one. Could you confirm whether the store changes are showing in LPMS now, and hold off on sending another copy while that is checked?
9/16/2026 - The file was sent late as a result of server issues on our side. That file or the new file sent Tuesday was processed Tuesday morning correctly, so this can be closed.</t>
        </is>
      </c>
    </row>
    <row r="99" ht="185.25" customHeight="1" s="24">
      <c r="A99" s="35" t="inlineStr">
        <is>
          <t>Transaction, tender and POS data</t>
        </is>
      </c>
    </row>
    <row r="100" ht="409" customHeight="1" s="24">
      <c r="A100" s="36" t="inlineStr">
        <is>
          <t>RCS-28281</t>
        </is>
      </c>
      <c r="B100" s="37" t="inlineStr">
        <is>
          <t>Transaction data load for August 10 incomplete</t>
        </is>
      </c>
      <c r="C100" s="37" t="inlineStr">
        <is>
          <t>Under Customer Review</t>
        </is>
      </c>
      <c r="D100" s="51" t="inlineStr">
        <is>
          <t>Awaiting Ahold input</t>
        </is>
      </c>
      <c r="E100" s="37" t="inlineStr">
        <is>
          <t>Juan Martinez</t>
        </is>
      </c>
      <c r="F100" s="39" t="n">
        <v>46245</v>
      </c>
      <c r="G100" s="39" t="n">
        <v>46289</v>
      </c>
      <c r="H100"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100" s="37" t="inlineStr">
        <is>
          <t>Jacquelyn sent a minute by minute breakdown for the flagged dates on 9/24 while Becky was out. It matches what Appriss sees for 8/12, where no transactions arrived between about 8:29 PM and 10:19 PM Eastern. 8/22 and 8/25 show no gaps, and 8/19 and 8/20 show dips of about three minutes each. Appriss asked on 9/24 for the 8/12 TLOG data covering 8:29 PM through 10:19 PM to be resent, and whether Ahold wants the 8/19 and 8/20 dips included in the same resend. Appriss will confirm the 8/12 counts once the resend lands.</t>
        </is>
      </c>
      <c r="J100"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
9/17/2026 - Following up on the ten minute check for the flagged dates. Please let us know if there are any updates on this incident or if service has returned to normal.
9/22/2026 - Checking back on the ten minute check. Could you confirm whether it was run for the other flagged dates, the eleventh, twelfth, nineteenth, twentieth, twenty second and twenty fifth?
9/23/2026 - Becky is out of the office this week and will return on Monday, September 28.
9/24/2026 - Minute by minute breakouts attached. 8/12 abnormally low from 8:29 to 8:38 PM and 8:49 to 8:59 PM, all transactions missing from 9 PM, missing from 10 PM through 10:19 PM. 8/19 drop from 4:26 to 4:28 PM. 8/20 drop from 12:27 to 12:29 PM. 8/22 and 8/25 no obvious abnormalities.
9/24/2026 - Appriss asked for the 8/12 data from 8:29 PM to 10:19 PM to be resent.</t>
        </is>
      </c>
    </row>
    <row r="101" ht="99.75" customHeight="1" s="24">
      <c r="A101" s="40" t="inlineStr">
        <is>
          <t>RCS-28125</t>
        </is>
      </c>
      <c r="B101" s="41" t="inlineStr">
        <is>
          <t>Load data for testing EBT card length change</t>
        </is>
      </c>
      <c r="C101" s="41" t="inlineStr">
        <is>
          <t>Closed</t>
        </is>
      </c>
      <c r="D101" s="38" t="inlineStr">
        <is>
          <t>Resolved</t>
        </is>
      </c>
      <c r="E101" s="41" t="inlineStr">
        <is>
          <t>Vlad Bogus</t>
        </is>
      </c>
      <c r="F101" s="42" t="n">
        <v>46237</v>
      </c>
      <c r="G101" s="42" t="n">
        <v>46255</v>
      </c>
      <c r="H101" s="41" t="inlineStr">
        <is>
          <t>Request to load two test data files so ADUSA can validate that changes supporting downstream POS processes have not affected data loading in both versions in use. This affects Secure rather than Incident.</t>
        </is>
      </c>
      <c r="I101" s="41" t="inlineStr">
        <is>
          <t>Both files were loaded successfully on 8/6. Marked complete on 8/17 and closed on 8/21. If ADUSA finds any issue with the loaded data, reply on the ticket and Appriss will pick it back up.</t>
        </is>
      </c>
      <c r="J101" s="41" t="inlineStr">
        <is>
          <t>This is a ticket for the Secure system (Zeus), not Incident (LPMS)</t>
        </is>
      </c>
    </row>
    <row r="102" ht="185.25" customHeight="1" s="24">
      <c r="A102" s="57" t="inlineStr">
        <is>
          <t>RCS-28748</t>
        </is>
      </c>
      <c r="B102" s="58" t="inlineStr">
        <is>
          <t>September 2 data missing from Secure</t>
        </is>
      </c>
      <c r="C102" s="58" t="inlineStr">
        <is>
          <t>Closed</t>
        </is>
      </c>
      <c r="D102" s="38" t="inlineStr">
        <is>
          <t>Resolved</t>
        </is>
      </c>
      <c r="E102" s="58" t="inlineStr">
        <is>
          <t>Ganesh Nayak</t>
        </is>
      </c>
      <c r="F102" s="60" t="n">
        <v>46268</v>
      </c>
      <c r="G102" s="60" t="n">
        <v>46268</v>
      </c>
      <c r="H102" s="58" t="inlineStr">
        <is>
          <t>A data pipeline job failed overnight on September 2, so the day's transaction load did not complete on schedule.</t>
        </is>
      </c>
      <c r="I102" s="58" t="inlineStr">
        <is>
          <t>Appriss identified the failed pipeline step, restarted the load and confirmed all September 2 data is available. Ahold confirmed the same afternoon that the data looks correct. Closed in Jira.</t>
        </is>
      </c>
      <c r="J102" s="58" t="inlineStr">
        <is>
          <t>Ticket opened 9/3/2026
9/3/2026 - Everything looks correct on my end now as well.</t>
        </is>
      </c>
    </row>
    <row r="103" ht="250" customHeight="1" s="24">
      <c r="A103" s="40" t="inlineStr">
        <is>
          <t>RCS-28784</t>
        </is>
      </c>
      <c r="B103" s="41" t="inlineStr">
        <is>
          <t>Item showing incorrect original price</t>
        </is>
      </c>
      <c r="C103" s="41" t="inlineStr">
        <is>
          <t>Closed</t>
        </is>
      </c>
      <c r="D103" s="56" t="inlineStr">
        <is>
          <t>Resolved</t>
        </is>
      </c>
      <c r="E103" s="41" t="inlineStr">
        <is>
          <t>Vlad Bogus</t>
        </is>
      </c>
      <c r="F103" s="42" t="n">
        <v>46269</v>
      </c>
      <c r="G103" s="42" t="n">
        <v>46274</v>
      </c>
      <c r="H103"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103"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103"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104" ht="250" customHeight="1" s="24">
      <c r="A104" s="57" t="inlineStr">
        <is>
          <t>RCS-27077</t>
        </is>
      </c>
      <c r="B104" s="58" t="inlineStr">
        <is>
          <t>New tender types for Delhaize</t>
        </is>
      </c>
      <c r="C104" s="58" t="inlineStr">
        <is>
          <t>Work in progress</t>
        </is>
      </c>
      <c r="D104" s="59" t="inlineStr">
        <is>
          <t>Active with Appriss</t>
        </is>
      </c>
      <c r="E104" s="58" t="inlineStr">
        <is>
          <t>Nikita Rathore</t>
        </is>
      </c>
      <c r="F104" s="60" t="n">
        <v>46168</v>
      </c>
      <c r="G104" s="60" t="n">
        <v>46304</v>
      </c>
      <c r="H104" s="58" t="inlineStr">
        <is>
          <t>Ahold requested new tender types to support new benefit card acceptance. On 9/23 the request was split by banner: the Delhaize tender types continue here and the Ahold ones moved to RCS-29063.</t>
        </is>
      </c>
      <c r="I104" s="58" t="inlineStr">
        <is>
          <t>The Delhaize side of this request is resolved and deployed, and all September and October test files were loaded by 10/7. Ahold sent the Ahold data on 10/8 for the same change and Appriss is loading it. Appriss suggested on 10/9 tracking the Ahold requirements on a separate ticket so that side can move without holding this one.</t>
        </is>
      </c>
      <c r="J104" s="58" t="inlineStr">
        <is>
          <t>9/23/2026 - We are checking the data. We assume no changes were needed to the data load process for the alphanumeric cashier ID.
9/23/2026 - What fix was needed, how soon will it be in production, were there issues loading the data, and was it loaded for both Ahold and Delhaize?
9/24/2026 - Were you able to load any Delhaize files sent after September 17?
9/24/2026 - Appriss confirmed the tender types are in production and asked Ahold to verify.
10/8/2026 - Ahold data sent for testing, covering 8/29 through 10/8.
10/9/2026 - Appriss suggested tracking the Ahold requirements separately so each side can progress on its own.</t>
        </is>
      </c>
    </row>
    <row r="105" ht="130" customHeight="1" s="24">
      <c r="A105" s="61" t="inlineStr">
        <is>
          <t>RCS-29063</t>
        </is>
      </c>
      <c r="B105" s="62" t="inlineStr">
        <is>
          <t>New tender types for Ahold</t>
        </is>
      </c>
      <c r="C105" s="62" t="inlineStr">
        <is>
          <t>Waiting for Software Release</t>
        </is>
      </c>
      <c r="D105" s="59" t="inlineStr">
        <is>
          <t>Active with Appriss</t>
        </is>
      </c>
      <c r="E105" s="62" t="inlineStr">
        <is>
          <t>Andres Esteban</t>
        </is>
      </c>
      <c r="F105" s="63" t="n">
        <v>46288</v>
      </c>
      <c r="G105" s="63" t="n">
        <v>46295</v>
      </c>
      <c r="H105" s="62" t="inlineStr">
        <is>
          <t>Ahold needs two new tender types for new benefit card acceptance at brick and mortar stores: 97 for FIS transactions and 98 for Evermore transactions. Split from RCS-27077 on 9/23.</t>
        </is>
      </c>
      <c r="I105" s="62" t="inlineStr">
        <is>
          <t>Code 98 was already used inside the Ahold data load for cash change records, so Appriss moved those records to a new reserved code, 93, before relabelling 98 as Evermore. Tender type 97 for FIS is added. Both new tender types are in the staging environment and are waiting for the software release, after which they will show on transactions. Nothing is needed from Ahold at this point.</t>
        </is>
      </c>
      <c r="J105" s="62" t="inlineStr">
        <is>
          <t>Ticket opened 9/23/2026</t>
        </is>
      </c>
    </row>
    <row r="106" ht="165" customHeight="1" s="24">
      <c r="A106" s="57" t="inlineStr">
        <is>
          <t>RCS-29228</t>
        </is>
      </c>
      <c r="B106" s="58" t="inlineStr">
        <is>
          <t>One tender type no longer appearing in reporting</t>
        </is>
      </c>
      <c r="C106" s="58" t="inlineStr">
        <is>
          <t>Closed</t>
        </is>
      </c>
      <c r="D106" s="66" t="inlineStr">
        <is>
          <t>Resolved</t>
        </is>
      </c>
      <c r="E106" s="58" t="inlineStr">
        <is>
          <t>Luis Hernandez</t>
        </is>
      </c>
      <c r="F106" s="60" t="n">
        <v>46296</v>
      </c>
      <c r="G106" s="60" t="n">
        <v>46301</v>
      </c>
      <c r="H106" s="58" t="inlineStr">
        <is>
          <t>Ahold saw a sharp decline in the use of one tender type in its reporting and asked Appriss to check the transaction data for a sample receipt to confirm whether that tender was present in what Ahold sends. Raised 10/1.</t>
        </is>
      </c>
      <c r="I106" s="58" t="inlineStr">
        <is>
          <t>Appriss reviewed the transaction data for the sample Ahold provided. Ahold's own POS team confirmed on 10/6 that the cause sits on their side and asked to close the ticket.</t>
        </is>
      </c>
      <c r="J106" s="58" t="inlineStr">
        <is>
          <t>Ticket opened 10/1/2026
10/1/2026 - Sharp decline in usage of this tender type. Please review the transaction data for this receipt.
10/6/2026 - Our POS team has confirmed the issue is on their end, so we can close this ticket.</t>
        </is>
      </c>
    </row>
    <row r="107" ht="190" customHeight="1" s="24">
      <c r="A107" s="61" t="inlineStr">
        <is>
          <t>RCS-29300</t>
        </is>
      </c>
      <c r="B107" s="62" t="inlineStr">
        <is>
          <t>Item order on receipts does not match the order items were scanned</t>
        </is>
      </c>
      <c r="C107" s="62" t="inlineStr">
        <is>
          <t>Under Customer Review</t>
        </is>
      </c>
      <c r="D107" s="65" t="inlineStr">
        <is>
          <t>Awaiting Ahold input</t>
        </is>
      </c>
      <c r="E107" s="62" t="inlineStr">
        <is>
          <t>Megha Rathi</t>
        </is>
      </c>
      <c r="F107" s="63" t="n">
        <v>46301</v>
      </c>
      <c r="G107" s="63" t="n">
        <v>46304</v>
      </c>
      <c r="H107" s="62" t="inlineStr">
        <is>
          <t>A user reported that the order of items on a receipt does not match the order on video. Sorting the transaction by item record date time lines up with the video, while the sequence on the receipt does not match either the audit tab or the item record sequence order. Raised 10/6 with a sample transaction.</t>
        </is>
      </c>
      <c r="I107" s="62" t="inlineStr">
        <is>
          <t>Appriss checked the sample and then the source file for that trading day. The receipt follows the item sequence number and the audit tab follows scan time, and the two differ because the sequence numbers in the file arrive out of scan order. The same pattern appears on 392 tickets across 54 stores in that one file, so no further samples are needed. Appriss shared the findings on 10/9 for Ahold to review with the team that produces the file.</t>
        </is>
      </c>
      <c r="J107" s="62" t="inlineStr">
        <is>
          <t>Ticket opened 10/6/2026
10/6/2026 - The item sequence on the receipt does not match the audit tab or the item record sequence order, while the date time sort matches the video.
10/9/2026 - Appriss confirmed the sequence numbers arrive out of scan order in the source file, on 392 tickets across 54 stores for that day.</t>
        </is>
      </c>
    </row>
    <row r="108" ht="150" customHeight="1" s="24">
      <c r="A108" s="57" t="inlineStr">
        <is>
          <t>RCS-29355</t>
        </is>
      </c>
      <c r="B108" s="58" t="inlineStr">
        <is>
          <t>Data load requested for files with no regular delivery route</t>
        </is>
      </c>
      <c r="C108" s="58" t="inlineStr">
        <is>
          <t>Under Support Review</t>
        </is>
      </c>
      <c r="D108" s="59" t="inlineStr">
        <is>
          <t>Active with Appriss</t>
        </is>
      </c>
      <c r="E108" s="58" t="inlineStr">
        <is>
          <t>Edwin Garzon</t>
        </is>
      </c>
      <c r="F108" s="60" t="n">
        <v>46303</v>
      </c>
      <c r="G108" s="60" t="n">
        <v>46304</v>
      </c>
      <c r="H108" s="58" t="inlineStr">
        <is>
          <t>Ahold supplied two sets of files that have no standard delivery route to the intake server yet, and asked that they be loaded into the Delhaize instance. The transactions relate to receipts covered by data that already arrives on the normal route. Raised 10/8.</t>
        </is>
      </c>
      <c r="I108" s="58" t="inlineStr">
        <is>
          <t>Appriss took the ticket on 10/9 and is reviewing what is needed to load the supplied files. Appriss will come back with the outcome of that load.</t>
        </is>
      </c>
      <c r="J108" s="58" t="inlineStr">
        <is>
          <t>Ticket opened 10/8/2026
10/8/2026 - These files do not currently have a standard data flow to the intake server, so they are being provided here until we do.</t>
        </is>
      </c>
    </row>
    <row r="109">
      <c r="A109" s="35" t="inlineStr">
        <is>
          <t>Change requests and scoping</t>
        </is>
      </c>
    </row>
    <row r="110">
      <c r="A110" s="36" t="inlineStr">
        <is>
          <t>RCS-28292</t>
        </is>
      </c>
      <c r="B110" s="37" t="inlineStr">
        <is>
          <t>Server migration for the LPMS store file</t>
        </is>
      </c>
      <c r="C110" s="37" t="inlineStr">
        <is>
          <t>Closed</t>
        </is>
      </c>
      <c r="D110" s="38" t="inlineStr">
        <is>
          <t>Resolved</t>
        </is>
      </c>
      <c r="E110" s="37" t="inlineStr">
        <is>
          <t>Gulshan Kumar</t>
        </is>
      </c>
      <c r="F110" s="39" t="n">
        <v>46245</v>
      </c>
      <c r="G110" s="39" t="n">
        <v>46260</v>
      </c>
      <c r="H110"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110"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110"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23:J23"/>
    <mergeCell ref="A15:B15"/>
    <mergeCell ref="A11:B11"/>
    <mergeCell ref="A109:J109"/>
    <mergeCell ref="A38:J38"/>
    <mergeCell ref="A72:J72"/>
    <mergeCell ref="A19:G19"/>
    <mergeCell ref="A6:B6"/>
    <mergeCell ref="A16:B16"/>
    <mergeCell ref="A31:J31"/>
    <mergeCell ref="A7:B7"/>
    <mergeCell ref="A48:J48"/>
    <mergeCell ref="A18:B18"/>
    <mergeCell ref="A82:J82"/>
    <mergeCell ref="A12:B12"/>
    <mergeCell ref="A1:J1"/>
    <mergeCell ref="A94:J94"/>
    <mergeCell ref="A88:J88"/>
    <mergeCell ref="A14:B14"/>
    <mergeCell ref="A17:B17"/>
    <mergeCell ref="A8:B8"/>
    <mergeCell ref="A66:J66"/>
    <mergeCell ref="A99:J99"/>
    <mergeCell ref="A3:J3"/>
    <mergeCell ref="A10:B10"/>
    <mergeCell ref="A13:B13"/>
    <mergeCell ref="A2:J2"/>
    <mergeCell ref="A9:B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2026-10-09T20:41:20Z</dcterms:modified>
  <cp:revision>0</cp:revision>
</cp:coreProperties>
</file>