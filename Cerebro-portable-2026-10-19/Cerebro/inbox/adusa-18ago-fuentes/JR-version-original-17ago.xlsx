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port tracker" sheetId="1" state="visible" r:id="rId3"/>
    <sheet name="Cases missing owners" sheetId="2" state="visible" r:id="rId4"/>
  </sheets>
  <definedNames>
    <definedName function="false" hidden="false" localSheetId="0" name="_xlnm.Print_Titles" vbProcedure="false">'Support tracker'!$21:$21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<sst xmlns="http://schemas.openxmlformats.org/spreadsheetml/2006/main" count="435" uniqueCount="280">
  <si>
    <t xml:space="preserve">Ahold Delhaize USA / ADUSA support tracker</t>
  </si>
  <si>
    <t xml:space="preserve">Status as of Tuesday, August 18, 2026. Ticket states verified directly against Jira.</t>
  </si>
  <si>
    <t xml:space="preserve">Agreed cadence: daily summary email, plus checkpoint calls Tuesdays 2:30 PM ET and Thursdays 3:30 PM ET.</t>
  </si>
  <si>
    <t xml:space="preserve">Summary by issue theme</t>
  </si>
  <si>
    <t xml:space="preserve">Issue theme</t>
  </si>
  <si>
    <t xml:space="preserve">Tickets</t>
  </si>
  <si>
    <t xml:space="preserve">Resolved</t>
  </si>
  <si>
    <t xml:space="preserve">Pending Ahold verification</t>
  </si>
  <si>
    <t xml:space="preserve">Awaiting Ahold input</t>
  </si>
  <si>
    <t xml:space="preserve">Active with Appriss</t>
  </si>
  <si>
    <t xml:space="preserve">Login and access</t>
  </si>
  <si>
    <t xml:space="preserve">User accounts and duplicates</t>
  </si>
  <si>
    <t xml:space="preserve">Store and brand restrictions</t>
  </si>
  <si>
    <t xml:space="preserve">Case entry and assignment</t>
  </si>
  <si>
    <t xml:space="preserve">Attachments and file handling</t>
  </si>
  <si>
    <t xml:space="preserve">Reporting and exports</t>
  </si>
  <si>
    <t xml:space="preserve">Performance and timeouts</t>
  </si>
  <si>
    <t xml:space="preserve">Platform configuration and notifications</t>
  </si>
  <si>
    <t xml:space="preserve">Transaction, tender and POS data</t>
  </si>
  <si>
    <t xml:space="preserve">Change requests and scoping</t>
  </si>
  <si>
    <t xml:space="preserve">Total</t>
  </si>
  <si>
    <t xml:space="preserve">"Pending Ahold verification" = a fix has been delivered and is waiting on Ahold to test and confirm.   "Awaiting Ahold input" = Appriss needs information or an action from Ahold before work can continue.   The "Action with" column in the detail table below is color-coded to match.</t>
  </si>
  <si>
    <t xml:space="preserve">Ticket detail</t>
  </si>
  <si>
    <t xml:space="preserve">Ticket</t>
  </si>
  <si>
    <t xml:space="preserve">Summary</t>
  </si>
  <si>
    <t xml:space="preserve">Status</t>
  </si>
  <si>
    <t xml:space="preserve">Action with</t>
  </si>
  <si>
    <t xml:space="preserve">Assignee</t>
  </si>
  <si>
    <t xml:space="preserve">Created</t>
  </si>
  <si>
    <t xml:space="preserve">Last Updated</t>
  </si>
  <si>
    <t xml:space="preserve">Issue summary</t>
  </si>
  <si>
    <t xml:space="preserve">Next steps</t>
  </si>
  <si>
    <t xml:space="preserve">ADUSA Comments</t>
  </si>
  <si>
    <t xml:space="preserve">RCS-28014</t>
  </si>
  <si>
    <t xml:space="preserve">New Appriss URL is asking for email address</t>
  </si>
  <si>
    <t xml:space="preserve">Closed</t>
  </si>
  <si>
    <t xml:space="preserve">Viraj Kansara</t>
  </si>
  <si>
    <t xml:space="preserve">After the cutover the new URL prompted for a password instead of passing users through single sign-on, ahead of the 6:00 AM Eastern start of shift.</t>
  </si>
  <si>
    <t xml:space="preserve">Resolved 7/29 in a live session with the ADUSA team. Closed.</t>
  </si>
  <si>
    <t xml:space="preserve">7/29/2026 - Resolved</t>
  </si>
  <si>
    <t xml:space="preserve">RCS-28042</t>
  </si>
  <si>
    <t xml:space="preserve">Eric Lauseng unable to access system</t>
  </si>
  <si>
    <t xml:space="preserve">A contracted Central Station user hit a redirect loop at sign-in because the global Employee ID attribute was not populated on the Azure and Entra profile for contractor and vendor accounts.</t>
  </si>
  <si>
    <t xml:space="preserve">ADUSA's IAM team populated the field and the sync completed. Confirmed signed in on 8/1. Closed.</t>
  </si>
  <si>
    <t xml:space="preserve">8/1/2026 - Resolved - ADUSA IAM issue</t>
  </si>
  <si>
    <t xml:space="preserve">RCS-28059</t>
  </si>
  <si>
    <t xml:space="preserve">Users are getting "Sorry, you have been blocked" message using the new LPMS URL</t>
  </si>
  <si>
    <t xml:space="preserve">Vedant Shirude</t>
  </si>
  <si>
    <t xml:space="preserve">Users at store and corporate locations were intermittently blocked at sign-in. Traffic routed through the ADUSA proxy service was exiting through Canadian nodes, which the Appriss web security rule was rejecting.</t>
  </si>
  <si>
    <t xml:space="preserve">Canada was allowed on 7/31 and April confirmed users could log on. Closed. If ADUSA can share the full list of countries its traffic may exit through, Appriss will allow them in advance rather than one at a time.</t>
  </si>
  <si>
    <t xml:space="preserve">7/31/2026 - Resolved</t>
  </si>
  <si>
    <t xml:space="preserve">RCS-28053</t>
  </si>
  <si>
    <t xml:space="preserve">Requesting the NON SAML link to LPMS</t>
  </si>
  <si>
    <t xml:space="preserve">Completed</t>
  </si>
  <si>
    <t xml:space="preserve">David Vargas</t>
  </si>
  <si>
    <t xml:space="preserve">Central Station needed the non-SAML sign-in link from the prior platform. The legacy shared account authenticated by email address rather than numeric ID, the address on file could not receive mail, and the account was locked.</t>
  </si>
  <si>
    <t xml:space="preserve">The Central Station account was rebuilt against CentralStation@adusa.com and unlocked. A Central Station manager signed in, reset the password and cleared the cases that were waiting. Resolved.</t>
  </si>
  <si>
    <t xml:space="preserve">8/5/2026 - Resolved</t>
  </si>
  <si>
    <t xml:space="preserve">RCS-28135</t>
  </si>
  <si>
    <t xml:space="preserve">Duplicated users</t>
  </si>
  <si>
    <t xml:space="preserve">Juan Martinez</t>
  </si>
  <si>
    <t xml:space="preserve">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</si>
  <si>
    <t xml:space="preserve">The duplicate records were removed on 8/4 and ADUSA confirmed the same evening. Closed. Related follow-on work continues under RCS-28177 and RCS-28342.</t>
  </si>
  <si>
    <t xml:space="preserve">8/4/2026 - Resolved</t>
  </si>
  <si>
    <t xml:space="preserve">RCS-28177</t>
  </si>
  <si>
    <t xml:space="preserve">Error when performing search on case for user with a numeral in the email address</t>
  </si>
  <si>
    <t xml:space="preserve">Under Customer Review</t>
  </si>
  <si>
    <t xml:space="preserve">Affected users could not search cases or find their store when creating one, and case owners whose email address contains a numeral did not display as owner. Users named include Nicholas Wilson, Shamar Anderson, Travis Scott, Luis Tapia and Jonathan Wright.</t>
  </si>
  <si>
    <t xml:space="preserve">Cause identified as mismatched user identifiers between the old and new user records, together with an incorrect home store on some accounts. 44 records were corrected on 8/14 and the Hannaford account for jonathan.wright2 was corrected on 8/17. Please have those users sign out, sign back in and confirm.</t>
  </si>
  <si>
    <t xml:space="preserve">8/13/2026 - Still an issue. Currently being worked on by Appriss.
8/14/2026 - Appriss believes that it has been fixed.</t>
  </si>
  <si>
    <t xml:space="preserve">RCS-28342</t>
  </si>
  <si>
    <t xml:space="preserve">Anthony Lopez, employee data missing from profile</t>
  </si>
  <si>
    <t xml:space="preserve">Anthony Lopez appeared twice when selecting a case approver, one entry with a blank job title and one showing Specialist Investigator, so users could not tell which record was correct and approvals could route to the wrong one.</t>
  </si>
  <si>
    <t xml:space="preserve">Cause identified as multiple email addresses on the account, which matched the wrong user ID so the profile and title did not follow through. The record was corrected on 8/14 and the job title now shows on both entries. Please have Anthony sign out, sign back in and confirm.</t>
  </si>
  <si>
    <t xml:space="preserve">8/13/2026 - Still an issue with some users not having their job title updated in the LPMS user file from claim data. Anthony Lopez was manually updated.</t>
  </si>
  <si>
    <t xml:space="preserve">RCS-28364</t>
  </si>
  <si>
    <t xml:space="preserve">Brian Somsky unable to see his old cases</t>
  </si>
  <si>
    <t xml:space="preserve">A user with the company since 2017 could not view any of his historical cases. Four identifier records were held for him and one disagreed with the others.</t>
  </si>
  <si>
    <t xml:space="preserve">His record was updated on 8/14 to match the identifier from the previous system. Please have him sign out, sign back in and confirm the historical cases appear. Appriss will also come back separately on Anthony Powell, reported on 8/14 with the same symptom.</t>
  </si>
  <si>
    <t xml:space="preserve">Ticket opened 08/13/2026</t>
  </si>
  <si>
    <t xml:space="preserve">RCS-28379</t>
  </si>
  <si>
    <t xml:space="preserve">Case Owner, Case Creator and Case Assigned To are blank</t>
  </si>
  <si>
    <t xml:space="preserve">Diego Buelvas</t>
  </si>
  <si>
    <t xml:space="preserve">Multiple cases display with no Case Owner, Case Creator or Assigned To, with examples supplied for the Hannaford brand including a case at store 8389. Cause identified as a user identity mismatch carried over during the platform move, along with some accounts being incorrectly deactivated.</t>
  </si>
  <si>
    <t xml:space="preserve">A correction pass across the affected case records was completed on 8/17. Appriss is working from the case examples ADUSA supplied on the second tab of this workbook, and will confirm coverage across the remaining brands before asking ADUSA to validate.</t>
  </si>
  <si>
    <t xml:space="preserve">Ticket opened 08/13/2026
8/17/2026 - Still appears to be an issue. Some case examples are on the next sheet</t>
  </si>
  <si>
    <t xml:space="preserve">RCS-28023</t>
  </si>
  <si>
    <t xml:space="preserve">Users are unable to create cases when restricted by Division</t>
  </si>
  <si>
    <t xml:space="preserve">AP Level 1, Level 2 and Level 2 lead users could not create cases because their user to location assignments pointed at location records whose brand did not match the division on the store.</t>
  </si>
  <si>
    <t xml:space="preserve">Corrected on 7/31 and confirmed working for the affected users. Closed.</t>
  </si>
  <si>
    <t xml:space="preserve">RCS-28043</t>
  </si>
  <si>
    <t xml:space="preserve">Users with Store locations that are duplicates in other brands</t>
  </si>
  <si>
    <t xml:space="preserve">Users assigned to Stop &amp; Shop and Giant Food of Landover locations were seeing only the matching Food Lion store number, because store numbers that duplicate across brands had both locations assigned to the profile.</t>
  </si>
  <si>
    <t xml:space="preserve">Corrected across all affected users. Closed.</t>
  </si>
  <si>
    <t xml:space="preserve">7/30/2026 - Resolved</t>
  </si>
  <si>
    <t xml:space="preserve">RCS-28093</t>
  </si>
  <si>
    <t xml:space="preserve">Employees not restricted by Store location</t>
  </si>
  <si>
    <t xml:space="preserve">Work in progress</t>
  </si>
  <si>
    <t xml:space="preserve">Edwin Garzon</t>
  </si>
  <si>
    <t xml:space="preserve">Two parts. Users who could only see stores from the wrong brand, which was corrected on 7/31 and confirmed working on 8/12. And employee search inside a case still returning associates from more than one brand for the same store number, which remains open.</t>
  </si>
  <si>
    <t xml:space="preserve">The remaining part needs a code change, because two brands can carry the same store number in the ADUSA hierarchy and employee search does not currently account for that. In development. Appriss is providing daily updates on this one and will confirm a target once development gives one.</t>
  </si>
  <si>
    <t xml:space="preserve">8/13/2026 - Still an issue from both inside a case and when an admin searches the employee table.
08/14/2026 - Still an issue</t>
  </si>
  <si>
    <t xml:space="preserve">RCS-28365</t>
  </si>
  <si>
    <t xml:space="preserve">Melanie Engleman unable to create cases</t>
  </si>
  <si>
    <t xml:space="preserve">Bikash Kumar</t>
  </si>
  <si>
    <t xml:space="preserve">The user could sign in but could not select a store to create a case, or search for cases in LPMS. Her provisioning profile showed office location 7225.</t>
  </si>
  <si>
    <t xml:space="preserve">Location 7225 was assigned on 8/13 and ADUSA confirmed on 8/17 that the issue is resolved. Appriss will close this out in Jira. Being reviewed alongside RCS-28415, which has the same symptom for two new users.</t>
  </si>
  <si>
    <t xml:space="preserve">Ticket Opened 8/13/2026
8/17/2026 - Issue resolved</t>
  </si>
  <si>
    <t xml:space="preserve">RCS-28415</t>
  </si>
  <si>
    <t xml:space="preserve">Two new Stop &amp; Shop users unable to create cases at Location level</t>
  </si>
  <si>
    <t xml:space="preserve">Under Support Review</t>
  </si>
  <si>
    <t xml:space="preserve">Appriss Support</t>
  </si>
  <si>
    <t xml:space="preserve">Two new hires cannot select a store to start a case. After entering a store number the screen pauses and then returns no store listing, and a second attempt returns no matching location found. Neither user had a location assigned. ADUSA added store 0722 to one of them, which produced Food Lion rather than the Stop &amp; Shop access they need.</t>
  </si>
  <si>
    <t xml:space="preserve">Raised 8/17. Appriss is assigning an owner, correcting the brand level hierarchy so both users see Stop &amp; Shop, and reviewing the store 0722 entry ADUSA left in place. Being reviewed against RCS-28365 to confirm whether they share a cause.</t>
  </si>
  <si>
    <t xml:space="preserve">Ticket opened 08/17/2026</t>
  </si>
  <si>
    <t xml:space="preserve">RCS-28115</t>
  </si>
  <si>
    <t xml:space="preserve">LPMS fields are not clickable</t>
  </si>
  <si>
    <t xml:space="preserve">J.R. Teagle</t>
  </si>
  <si>
    <t xml:space="preserve">Dropdown fields and the SAVE button did not respond on the Unusual Incident, Shoplifting, Burglary and Medical entry screens. Cause was a script error on the narrative field, after which the fields on the page stopped responding.</t>
  </si>
  <si>
    <t xml:space="preserve">A hotfix and a system cache clear went in on 8/1, within an hour of the report. Resolved.</t>
  </si>
  <si>
    <t xml:space="preserve">8/1/2026 - This issue has been resolved</t>
  </si>
  <si>
    <t xml:space="preserve">RCS-28123</t>
  </si>
  <si>
    <t xml:space="preserve">Case assignment issues</t>
  </si>
  <si>
    <t xml:space="preserve">Assigning a case returns "Assigned to can't be blank", the case shows as assigned but the person does not appear in a search, and duplicate assignment emails are sent. Send to Approver also returns a blank screen and needs a manual refresh before the approver's name appears.</t>
  </si>
  <si>
    <t xml:space="preserve">An update was deployed on 8/17 and is being verified. Appriss will confirm as soon as verification completes. Appriss will also respond on the separate point raised on 8/14, that users can no longer print a case PDF from the confirmation screen and must go to the workbench instead.</t>
  </si>
  <si>
    <t xml:space="preserve">8/13/2026 - Still an issue
8/14/2026 - Fix is in progress and is expected to be part of the release early next week</t>
  </si>
  <si>
    <t xml:space="preserve">RCS-28196</t>
  </si>
  <si>
    <t xml:space="preserve">AD Shoplifting Entry: two fields that used to be blank now default to No</t>
  </si>
  <si>
    <t xml:space="preserve">Waiting for Software Release</t>
  </si>
  <si>
    <t xml:space="preserve">Law Enforcement Notified and Vehicle Involved used to open blank and require the user to choose. They now default to No regardless of the true answer, so a saved case can record No where nobody answered. Cause identified: during the data migration these two fields were given a default value where they had previously been left empty.</t>
  </si>
  <si>
    <t xml:space="preserve">A change is built and is waiting on a release. No release date is confirmed yet. Appriss will confirm the date once it is set and will update the ticket and email the ADUSA team when it reaches production. ADUSA may want to decide whether cases entered since cutover need reviewing for these two fields.</t>
  </si>
  <si>
    <t xml:space="preserve">RCS-28304</t>
  </si>
  <si>
    <t xml:space="preserve">Case tier abbreviated on Central Station Master page</t>
  </si>
  <si>
    <t xml:space="preserve">The case tier value is truncated on the Central Station Master page, so a longer value such as Associate assaulted by Associate does not display in full. The field has a fixed display width shared with the other summary fields. The full value is stored correctly and is available elsewhere in the case, and the same truncation was present in the previous system.</t>
  </si>
  <si>
    <t xml:space="preserve">No data is lost or altered. Widening the field is a change to the screen layout rather than a defect fix, so it needs an enhancement request. ADUSA indicated it will raise one. Appriss will support that and can advise on wording.</t>
  </si>
  <si>
    <t xml:space="preserve">8/13/2026 - Not affecting functionality. Is a display limitation on the Case entry Screen. Will submit as an enhancement request to restore previous view</t>
  </si>
  <si>
    <t xml:space="preserve">RCS-28369</t>
  </si>
  <si>
    <t xml:space="preserve">Case number did not change when the location changed</t>
  </si>
  <si>
    <t xml:space="preserve">A case was created against store 6510 that should have been store 6314. The location was changed several times and the case number did not follow, which raised a concern about duplicated or lost cases.</t>
  </si>
  <si>
    <t xml:space="preserve">Nothing was duplicated and nothing was lost. The case now reads correctly under location 6314. A code fix went out in the release on the morning of 8/17 and Appriss verified in production that changing the location now updates the case number. ADUSA validated on 8/14. Appriss will close this out in Jira.</t>
  </si>
  <si>
    <t xml:space="preserve">Ticket opened 8/13/2026
8/14/2026 - Resolved by Appriss, validated by ADUSA</t>
  </si>
  <si>
    <t xml:space="preserve">RCS-28378</t>
  </si>
  <si>
    <t xml:space="preserve">Landing page Save and Next buttons not working for the Hannaford brand</t>
  </si>
  <si>
    <t xml:space="preserve">The Save and Next buttons on the landing page were reported as not working for the Hannaford brand.</t>
  </si>
  <si>
    <t xml:space="preserve">Appriss is assigning an owner. To move this forward we need the additional detail ADUSA offered on 8/14, specifically which page and which users, and a screenshot if one is available. There is a possible match to a defect already under investigation, which Appriss is checking against this symptom rather than assuming.</t>
  </si>
  <si>
    <t xml:space="preserve">RCS-28025</t>
  </si>
  <si>
    <t xml:space="preserve">Unable to view Attachments</t>
  </si>
  <si>
    <t xml:space="preserve">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</si>
  <si>
    <t xml:space="preserve">The filename handling fix reached production on 8/6 and ADUSA confirmed files open. Closed. Remaining attachment work is tracked under RCS-28124.</t>
  </si>
  <si>
    <t xml:space="preserve">8/6/2026 - Resolved.</t>
  </si>
  <si>
    <t xml:space="preserve">RCS-28124</t>
  </si>
  <si>
    <t xml:space="preserve">Certain attachments not visible</t>
  </si>
  <si>
    <t xml:space="preserve">PDF and MOV attachments were not visible where JPEG was. Closed on 8/11 and reopened on 8/13 when the Hannaford brand reported it could not attach videos and was still receiving a Forbidden message.</t>
  </si>
  <si>
    <t xml:space="preserve">A further fix was deployed and tested on 8/14. Please have the Hannaford users retry a video upload and confirm, and send the case number if any attempt still fails. Appriss will keep the ticket open until ADUSA confirms rather than closing it again on our own testing.</t>
  </si>
  <si>
    <t xml:space="preserve">8/11/2026 - Reported as resolved.
8/13/2026 - Users still reporting issues, ticket was re-opened.
8/14/2026 - Appriss advised that a fix has been deployed</t>
  </si>
  <si>
    <t xml:space="preserve">RCS-28021</t>
  </si>
  <si>
    <t xml:space="preserve">Unable to use Izenda</t>
  </si>
  <si>
    <t xml:space="preserve">Two live problems. Export to Excel produces no file and no error, and reports have not returned new data since 7/28. A report configuration error was corrected on 7/31 but that did not address either of these.</t>
  </si>
  <si>
    <t xml:space="preserve">Appriss reproduced the behavior on 8/14 and established that the date range on the report does not hold reliably, so a report can return older records without saying so. The records themselves are present. The scheduled reports were rerun on 8/14 against current data, so the missing data part should now be correct. ADUSA confirmed on 8/17 that exporting still does not work. To close that out Appriss needs one named report that fails to export, so the export path can be traced on that specific report rather than in general.</t>
  </si>
  <si>
    <t xml:space="preserve">8/11/2026 - Still an issue. Automated reports are running but some data is missing. Some Adhoc reports run and export, however the file is blank</t>
  </si>
  <si>
    <t xml:space="preserve">RCS-28161</t>
  </si>
  <si>
    <t xml:space="preserve">Unable to export files from the platform to make lineup changes</t>
  </si>
  <si>
    <t xml:space="preserve">Accepted into Development</t>
  </si>
  <si>
    <t xml:space="preserve">Shandana Khan</t>
  </si>
  <si>
    <t xml:space="preserve">The store file export downloads but the resulting CSV is blank, so brand lineup changes cannot be made. Confirmed on a screen share with ADUSA on 8/11.</t>
  </si>
  <si>
    <t xml:space="preserve">A fix is built and in testing. Appriss is providing daily updates on this one and will confirm as soon as it is deployed and verified.</t>
  </si>
  <si>
    <t xml:space="preserve">8/13/2026 - Still remains an issue.
8/14/2026 - Fix is in progress and is expected to be part of the release early next week</t>
  </si>
  <si>
    <t xml:space="preserve">RCS-28413</t>
  </si>
  <si>
    <t xml:space="preserve">Izenda data for Central Division incorrect</t>
  </si>
  <si>
    <t xml:space="preserve">The Central Division report generated for managers on the morning of 8/17 showed 66 cases where the division previously held over 270. Other divisions were largely correct.</t>
  </si>
  <si>
    <t xml:space="preserve">Raised 8/17. Appriss is assigning an owner and will verify the true case count for the division against what the report returned, so ADUSA knows whether this is a reporting problem or genuinely missing cases. Nothing so far indicates case data has been lost. Appriss will come back with the verified counts.</t>
  </si>
  <si>
    <t xml:space="preserve">RCS-28075</t>
  </si>
  <si>
    <t xml:space="preserve">Users are experiencing Time Outs</t>
  </si>
  <si>
    <t xml:space="preserve">Central Station associates were timed out of the application and had to close and re-enter to keep working. Two administrators were separately found to be missing the Administrators permission group and several baseline groups.</t>
  </si>
  <si>
    <t xml:space="preserve">The permission groups were restored and database indexing improvements were deployed on 8/6. Closed on 8/11. Current performance reports are tracked under RCS-28356. The session timeout is 60 minutes and can be raised on request.</t>
  </si>
  <si>
    <t xml:space="preserve">8/11/2026 - Resolved</t>
  </si>
  <si>
    <t xml:space="preserve">RCS-28353</t>
  </si>
  <si>
    <t xml:space="preserve">Error 502 when updating store information</t>
  </si>
  <si>
    <t xml:space="preserve">Updating a name in the store profile returned a 502 error, alongside general slowness.</t>
  </si>
  <si>
    <t xml:space="preserve">Being worked together with RCS-28356 and RCS-28407, since the 502 responses and the slowness appear to share an underlying cause. A set of fixes reached production on the evening of 8/17. Early checks on the Appriss side are positive but not yet proven at scale. Please retry a store profile update and confirm whether the 502 still occurs. If it does, ADUSA offered a screen share to capture a browser trace and Appriss will take that up.</t>
  </si>
  <si>
    <t xml:space="preserve">Ticket opened 8/13/2026</t>
  </si>
  <si>
    <t xml:space="preserve">RCS-28356</t>
  </si>
  <si>
    <t xml:space="preserve">Users are experiencing sluggishness of the system</t>
  </si>
  <si>
    <t xml:space="preserve">Camila Cortes</t>
  </si>
  <si>
    <t xml:space="preserve">Moving around the platform is slower than expected, with 502 responses occurring alongside the slowness. The Hannaford brand reported long page open times needing repeated refreshes. Appriss is seeing the same performance behavior on its side.</t>
  </si>
  <si>
    <t xml:space="preserve">This is the highest priority item on this list. A set of fixes reached production on the evening of 8/17 and further work is in progress. No root cause is confirmed yet, so Appriss is not calling it resolved on the strength of those fixes. What would help most now is whether users are seeing a difference since 8/17, ideally from the Hannaford users who reported the longest page open times. Appriss is providing daily updates until this is closed out.</t>
  </si>
  <si>
    <t xml:space="preserve">RCS-28407</t>
  </si>
  <si>
    <t xml:space="preserve">502 error frequently received while using the platform</t>
  </si>
  <si>
    <t xml:space="preserve">Users frequently receive a 502 error while performing a range of functions in LPMS. It is not limited to one process. Raised 8/17 with a screenshot.</t>
  </si>
  <si>
    <t xml:space="preserve">Engineering has identified the underlying issue and a set of fixes reached production on the evening of 8/17. Tracked together with RCS-28356 and RCS-28353 as one problem rather than three. Appriss will confirm once the effect is measured over a full working day. If users are still hitting 502s after 8/17, the most useful detail is the page they were on and roughly when.</t>
  </si>
  <si>
    <t xml:space="preserve">RCS-28030</t>
  </si>
  <si>
    <t xml:space="preserve">Server time needs adjusted to EST</t>
  </si>
  <si>
    <t xml:space="preserve">Timestamps on journal notes and attachment uploads showed four hours ahead of local time, because the migration defaulted user profiles to UTC rather than Eastern.</t>
  </si>
  <si>
    <t xml:space="preserve">Eastern time was applied across all ADUSA user accounts. Closed. If anyone still sees a four hour offset, have them sign out and back in first, then send the case number.</t>
  </si>
  <si>
    <t xml:space="preserve">No current report of issues. Looking at User file, it appears to be correct</t>
  </si>
  <si>
    <t xml:space="preserve">RCS-28041</t>
  </si>
  <si>
    <t xml:space="preserve">Request to remove "Secure Incident Management System" from email sender display name</t>
  </si>
  <si>
    <t xml:space="preserve">Notification emails display as Secure Incident Management System followed by the sending address. ADUSA asked for the display name to be removed because Outlook rules that group mail by display name stopped working.</t>
  </si>
  <si>
    <t xml:space="preserve">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</si>
  <si>
    <t xml:space="preserve">8/4/2026 - Resolved as this is a new system configuration and cannot be changed. Users will be advised of the change.</t>
  </si>
  <si>
    <t xml:space="preserve">RCS-28109</t>
  </si>
  <si>
    <t xml:space="preserve">"Send to Flock" appearing as an action item on case closure</t>
  </si>
  <si>
    <t xml:space="preserve">Matthew Kamminga</t>
  </si>
  <si>
    <t xml:space="preserve">Since the move to the new URL, "Send to Flock" appeared as an action item when a user closed a case, and ADUSA could not remove it from the configuration directly.</t>
  </si>
  <si>
    <t xml:space="preserve">Removed from view on all cases on 8/14. Resolved. If it appears anywhere still, send the case number and Appriss will reopen.</t>
  </si>
  <si>
    <t xml:space="preserve">8/11/2026 - Appears to be resolved.</t>
  </si>
  <si>
    <t xml:space="preserve">RCS-28281</t>
  </si>
  <si>
    <t xml:space="preserve">Transaction data load for August 10 incomplete</t>
  </si>
  <si>
    <t xml:space="preserve">Transaction data loaded for 8/10 is incomplete. Hourly counts look normal until early afternoon and then stop. Loaded volume for the day was about 1.07 million transactions across 726 stores, against roughly 2.1 to 2.3 million on each of 8/7 to 8/9. This affects Secure rather than Incident.</t>
  </si>
  <si>
    <t xml:space="preserve">All files received have been loaded. Duplicate files in the delivery accounted for a material share of the volume received, which reduced the usable total. Why the day's data stops in the early afternoon is still being established. Appriss will confirm the cause and whether the shortfall can be backfilled.</t>
  </si>
  <si>
    <t xml:space="preserve">This is a ticket for the Secure system (Zeus), not Incident (LPMS)</t>
  </si>
  <si>
    <t xml:space="preserve">RCS-28125</t>
  </si>
  <si>
    <t xml:space="preserve">Load data for testing EBT card length change</t>
  </si>
  <si>
    <t xml:space="preserve">Vlad Bogus</t>
  </si>
  <si>
    <t xml:space="preserve">Request to load two test data files so ADUSA can validate that changes supporting downstream POS processes have not affected data loading in both versions in use. This affects Secure rather than Incident.</t>
  </si>
  <si>
    <t xml:space="preserve">Both files were loaded successfully on 8/6. Marked complete on 8/17. If ADUSA finds any issue with the loaded data, reply on the ticket and Appriss will pick it back up.</t>
  </si>
  <si>
    <t xml:space="preserve">RCS-28292</t>
  </si>
  <si>
    <t xml:space="preserve">Server migration for the LPMS store file</t>
  </si>
  <si>
    <t xml:space="preserve">Gulshan Kumar</t>
  </si>
  <si>
    <t xml:space="preserve">ADUSA is standing up a new server to move onto a current operating system. The daily LPMS store file is processed from that server, so file receipt could be affected during the change. The window is 8/20 from 11:00 PM Eastern until approximately 6:00 AM on 8/21.</t>
  </si>
  <si>
    <t xml:space="preserve">ADUSA confirmed on 8/13 that the existing IP address will carry over to the new server. Appriss will confirm before the window that no allow list change is needed on our side, and will agree with ADUSA how the store file is verified on the morning of 8/21.</t>
  </si>
  <si>
    <t xml:space="preserve">Not related to URL change. No action needed yet; migration scheduled for 8/20-8/21.</t>
  </si>
  <si>
    <t xml:space="preserve">IncidentDate</t>
  </si>
  <si>
    <t xml:space="preserve">CaseType</t>
  </si>
  <si>
    <t xml:space="preserve">CaseStatus</t>
  </si>
  <si>
    <t xml:space="preserve">CaseNo</t>
  </si>
  <si>
    <t xml:space="preserve">StoreNo</t>
  </si>
  <si>
    <t xml:space="preserve">TotalStolen</t>
  </si>
  <si>
    <t xml:space="preserve">CaseOwnerID</t>
  </si>
  <si>
    <t xml:space="preserve">AssignedToID</t>
  </si>
  <si>
    <t xml:space="preserve">CaseName</t>
  </si>
  <si>
    <t xml:space="preserve">Security Officer Issue</t>
  </si>
  <si>
    <t xml:space="preserve">CLOSED</t>
  </si>
  <si>
    <t xml:space="preserve">2026-FOOD LION ,LLC-1193-27</t>
  </si>
  <si>
    <t xml:space="preserve">Medical Incident</t>
  </si>
  <si>
    <t xml:space="preserve">2026-FOOD LION ,LLC-2159-9</t>
  </si>
  <si>
    <t xml:space="preserve">Impersonation/Social Engineering</t>
  </si>
  <si>
    <t xml:space="preserve">2026-HANNAFORD BROS. CO., LLC-8351-308</t>
  </si>
  <si>
    <t xml:space="preserve">Unusual Incident</t>
  </si>
  <si>
    <t xml:space="preserve">2026-HANNAFORD BROS. CO., LLC-8336-91</t>
  </si>
  <si>
    <t xml:space="preserve">Shoplifting Incident</t>
  </si>
  <si>
    <t xml:space="preserve">2026-GIANT/MARTINS (GIANT FOOD STORES, LLC)-6255-41</t>
  </si>
  <si>
    <t xml:space="preserve">2026-FOOD LION ,LLC-0617-95</t>
  </si>
  <si>
    <t xml:space="preserve">2026-FOOD LION ,LLC-1407-15</t>
  </si>
  <si>
    <t xml:space="preserve">2026-HANNAFORD BROS. CO., LLC-8138-144</t>
  </si>
  <si>
    <t xml:space="preserve">2026-HANNAFORD BROS. CO., LLC-8187-35</t>
  </si>
  <si>
    <t xml:space="preserve">2026-HANNAFORD BROS. CO., LLC-8190-25</t>
  </si>
  <si>
    <t xml:space="preserve">OPEN</t>
  </si>
  <si>
    <t xml:space="preserve">2026-FOOD LION ,LLC-0541-8</t>
  </si>
  <si>
    <t xml:space="preserve">2026-FOOD LION ,LLC-0541-9</t>
  </si>
  <si>
    <t xml:space="preserve">2026-HANNAFORD BROS. CO., LLC-8340-112</t>
  </si>
  <si>
    <t xml:space="preserve">2026-HANNAFORD BROS. CO., LLC-8398-37</t>
  </si>
  <si>
    <t xml:space="preserve">2026-HANNAFORD BROS. CO., LLC-8317-30</t>
  </si>
  <si>
    <t xml:space="preserve">'Shoplifting-Hannaford'</t>
  </si>
  <si>
    <t xml:space="preserve">2026-HANNAFORD BROS. CO., LLC-8340-113</t>
  </si>
  <si>
    <t xml:space="preserve">Tortorici, Michael</t>
  </si>
  <si>
    <t xml:space="preserve">Physical Assault</t>
  </si>
  <si>
    <t xml:space="preserve">2026-FOOD LION ,LLC-0197-13</t>
  </si>
  <si>
    <t xml:space="preserve">2026-THE STOP &amp; SHOP SUPERMARKET COMPANY LLC-0508-139</t>
  </si>
  <si>
    <t xml:space="preserve">Security Deficiency</t>
  </si>
  <si>
    <t xml:space="preserve">2026-HANNAFORD BROS. CO., LLC-8177-48</t>
  </si>
  <si>
    <t xml:space="preserve">2026-FOOD LION ,LLC-0203-13</t>
  </si>
  <si>
    <t xml:space="preserve">Death</t>
  </si>
  <si>
    <t xml:space="preserve">2026-FOOD LION ,LLC-2546-12</t>
  </si>
  <si>
    <t xml:space="preserve">2026-FOOD LION ,LLC-2546-13</t>
  </si>
  <si>
    <t xml:space="preserve">2026-FOOD LION ,LLC-1097-10</t>
  </si>
  <si>
    <t xml:space="preserve">2026-HANNAFORD BROS. CO., LLC-8294-21</t>
  </si>
  <si>
    <t xml:space="preserve">2026-THE STOP &amp; SHOP SUPERMARKET COMPANY LLC-0699-174</t>
  </si>
  <si>
    <t xml:space="preserve">2026-FOOD LION ,LLC-1493-7</t>
  </si>
  <si>
    <t xml:space="preserve">2026-HANNAFORD BROS. CO., LLC-8398-39</t>
  </si>
  <si>
    <t xml:space="preserve">2026-HANNAFORD BROS. CO., LLC-8417-50</t>
  </si>
  <si>
    <t xml:space="preserve">2026-THE STOP &amp; SHOP SUPERMARKET COMPANY LLC-0512-302</t>
  </si>
  <si>
    <t xml:space="preserve">2026-GIANT FOOD (GIANT OF MARYLAND, LLC)-2310-153</t>
  </si>
  <si>
    <t xml:space="preserve">AWAITING NEXT LEVEL REVIEW</t>
  </si>
  <si>
    <t xml:space="preserve">2026-HANNAFORD BROS. CO., LLC-8306-137</t>
  </si>
  <si>
    <t xml:space="preserve">Hunt, Kelly</t>
  </si>
  <si>
    <t xml:space="preserve">2026-HANNAFORD BROS. CO., LLC-8220-116</t>
  </si>
  <si>
    <t xml:space="preserve">Food Safety Concerns</t>
  </si>
  <si>
    <t xml:space="preserve">2026-HANNAFORD BROS. CO., LLC-8453-43</t>
  </si>
  <si>
    <t xml:space="preserve">2026-FOOD LION ,LLC-1347-3</t>
  </si>
</sst>
</file>

<file path=xl/styles.xml><?xml version="1.0" encoding="utf-8"?>
<styleSheet xmlns="http://schemas.openxmlformats.org/spreadsheetml/2006/main">
  <numFmts count="3">
    <numFmt numFmtId="164" formatCode="General"/>
    <numFmt numFmtId="165" formatCode="m/d/yy"/>
    <numFmt numFmtId="166" formatCode="m/d/yyyy\ h:mm"/>
  </numFmts>
  <fonts count="18">
    <font>
      <sz val="11"/>
      <color theme="1"/>
      <name val="Calibri"/>
      <family val="2"/>
      <charset val="1"/>
    </font>
    <font>
      <sz val="10"/>
      <name val="Arial"/>
      <family val="0"/>
    </font>
    <font>
      <sz val="10"/>
      <name val="Arial"/>
      <family val="0"/>
    </font>
    <font>
      <sz val="10"/>
      <name val="Arial"/>
      <family val="0"/>
    </font>
    <font>
      <sz val="18"/>
      <color rgb="FF1E1531"/>
      <name val="Poppins"/>
      <family val="0"/>
      <charset val="1"/>
    </font>
    <font>
      <sz val="9"/>
      <color rgb="FFA5ABB3"/>
      <name val="Poppins"/>
      <family val="0"/>
      <charset val="1"/>
    </font>
    <font>
      <sz val="9"/>
      <color rgb="FF6D7580"/>
      <name val="Poppins"/>
      <family val="0"/>
      <charset val="1"/>
    </font>
    <font>
      <sz val="12"/>
      <color rgb="FF1E1531"/>
      <name val="Poppins"/>
      <family val="0"/>
      <charset val="1"/>
    </font>
    <font>
      <b val="true"/>
      <sz val="9.5"/>
      <color rgb="FFFFFFFF"/>
      <name val="Poppins"/>
      <family val="0"/>
      <charset val="1"/>
    </font>
    <font>
      <sz val="10"/>
      <color rgb="FF1E1531"/>
      <name val="Poppins"/>
      <family val="0"/>
      <charset val="1"/>
    </font>
    <font>
      <b val="true"/>
      <sz val="10"/>
      <color rgb="FFFFFFFF"/>
      <name val="Poppins"/>
      <family val="0"/>
      <charset val="1"/>
    </font>
    <font>
      <i val="true"/>
      <sz val="9"/>
      <color rgb="FF6D7580"/>
      <name val="Poppins"/>
      <family val="0"/>
      <charset val="1"/>
    </font>
    <font>
      <b val="true"/>
      <sz val="11"/>
      <color rgb="FF1E1531"/>
      <name val="Poppins"/>
      <family val="0"/>
      <charset val="1"/>
    </font>
    <font>
      <b val="true"/>
      <sz val="10"/>
      <color rgb="FF007971"/>
      <name val="Poppins"/>
      <family val="0"/>
      <charset val="1"/>
    </font>
    <font>
      <sz val="9.5"/>
      <color rgb="FF1E1531"/>
      <name val="Poppins"/>
      <family val="0"/>
      <charset val="1"/>
    </font>
    <font>
      <b val="true"/>
      <sz val="9.5"/>
      <color rgb="FF1E1531"/>
      <name val="Poppins"/>
      <family val="0"/>
      <charset val="1"/>
    </font>
    <font>
      <sz val="9.5"/>
      <color rgb="FF6D7580"/>
      <name val="Poppins"/>
      <family val="0"/>
      <charset val="1"/>
    </font>
    <font>
      <i val="true"/>
      <sz val="9.5"/>
      <color rgb="FF007971"/>
      <name val="Poppins"/>
      <family val="0"/>
      <charset val="1"/>
    </font>
  </fonts>
  <fills count="9">
    <fill>
      <patternFill patternType="none"/>
    </fill>
    <fill>
      <patternFill patternType="gray125"/>
    </fill>
    <fill>
      <patternFill patternType="solid">
        <fgColor rgb="FF1E1531"/>
        <bgColor rgb="FF000000"/>
      </patternFill>
    </fill>
    <fill>
      <patternFill patternType="solid">
        <fgColor rgb="FFFFFFFF"/>
        <bgColor rgb="FFF4F6F9"/>
      </patternFill>
    </fill>
    <fill>
      <patternFill patternType="solid">
        <fgColor rgb="FFF4F6F9"/>
        <bgColor rgb="FFFFFFFF"/>
      </patternFill>
    </fill>
    <fill>
      <patternFill patternType="solid">
        <fgColor rgb="FFDBE5FD"/>
        <bgColor rgb="FFF4F6F9"/>
      </patternFill>
    </fill>
    <fill>
      <patternFill patternType="solid">
        <fgColor rgb="FF7DE2DD"/>
        <bgColor rgb="FF33CCCC"/>
      </patternFill>
    </fill>
    <fill>
      <patternFill patternType="solid">
        <fgColor rgb="FFFBC521"/>
        <bgColor rgb="FFFF9900"/>
      </patternFill>
    </fill>
    <fill>
      <patternFill patternType="solid">
        <fgColor rgb="FF528DF5"/>
        <bgColor rgb="FF9999FF"/>
      </patternFill>
    </fill>
  </fills>
  <borders count="2">
    <border diagonalUp="false" diagonalDown="false">
      <left/>
      <right/>
      <top/>
      <bottom/>
      <diagonal/>
    </border>
    <border diagonalUp="false" diagonalDown="false">
      <left style="thin">
        <color rgb="FFDBE5FD"/>
      </left>
      <right style="thin">
        <color rgb="FFDBE5FD"/>
      </right>
      <top style="thin">
        <color rgb="FFDBE5FD"/>
      </top>
      <bottom style="thin">
        <color rgb="FFDBE5F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15" fillId="6" borderId="1" xfId="0" applyFont="true" applyBorder="true" applyAlignment="true" applyProtection="false">
      <alignment horizontal="center"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5" fontId="16" fillId="3" borderId="1" xfId="0" applyFont="true" applyBorder="true" applyAlignment="true" applyProtection="false">
      <alignment horizontal="center" vertical="top" textRotation="0" wrapText="true" indent="0" shrinkToFit="false"/>
      <protection locked="true" hidden="false"/>
    </xf>
    <xf numFmtId="164" fontId="17" fillId="3"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5" fontId="16" fillId="4"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0" fillId="2"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CCFFFF"/>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528DF5"/>
      <rgbColor rgb="FF33CCCC"/>
      <rgbColor rgb="FF99CC00"/>
      <rgbColor rgb="FFFBC521"/>
      <rgbColor rgb="FFFF9900"/>
      <rgbColor rgb="FFFF6600"/>
      <rgbColor rgb="FF666699"/>
      <rgbColor rgb="FFA5ABB3"/>
      <rgbColor rgb="FF003366"/>
      <rgbColor rgb="FF339966"/>
      <rgbColor rgb="FF003300"/>
      <rgbColor rgb="FF333300"/>
      <rgbColor rgb="FF993300"/>
      <rgbColor rgb="FF993366"/>
      <rgbColor rgb="FF333399"/>
      <rgbColor rgb="FF1E15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trebuco.atlassian.net/browse/RCS-28014" TargetMode="External"/><Relationship Id="rId2" Type="http://schemas.openxmlformats.org/officeDocument/2006/relationships/hyperlink" Target="https://trebuco.atlassian.net/browse/RCS-28042" TargetMode="External"/><Relationship Id="rId3" Type="http://schemas.openxmlformats.org/officeDocument/2006/relationships/hyperlink" Target="https://trebuco.atlassian.net/browse/RCS-28059" TargetMode="External"/><Relationship Id="rId4" Type="http://schemas.openxmlformats.org/officeDocument/2006/relationships/hyperlink" Target="https://trebuco.atlassian.net/browse/RCS-28053" TargetMode="External"/><Relationship Id="rId5" Type="http://schemas.openxmlformats.org/officeDocument/2006/relationships/hyperlink" Target="https://trebuco.atlassian.net/browse/RCS-28135" TargetMode="External"/><Relationship Id="rId6" Type="http://schemas.openxmlformats.org/officeDocument/2006/relationships/hyperlink" Target="https://trebuco.atlassian.net/browse/RCS-28177" TargetMode="External"/><Relationship Id="rId7" Type="http://schemas.openxmlformats.org/officeDocument/2006/relationships/hyperlink" Target="https://trebuco.atlassian.net/browse/RCS-28342" TargetMode="External"/><Relationship Id="rId8" Type="http://schemas.openxmlformats.org/officeDocument/2006/relationships/hyperlink" Target="https://trebuco.atlassian.net/browse/RCS-28364" TargetMode="External"/><Relationship Id="rId9" Type="http://schemas.openxmlformats.org/officeDocument/2006/relationships/hyperlink" Target="https://trebuco.atlassian.net/browse/RCS-28379" TargetMode="External"/><Relationship Id="rId10" Type="http://schemas.openxmlformats.org/officeDocument/2006/relationships/hyperlink" Target="https://trebuco.atlassian.net/browse/RCS-28023" TargetMode="External"/><Relationship Id="rId11" Type="http://schemas.openxmlformats.org/officeDocument/2006/relationships/hyperlink" Target="https://trebuco.atlassian.net/browse/RCS-28043" TargetMode="External"/><Relationship Id="rId12" Type="http://schemas.openxmlformats.org/officeDocument/2006/relationships/hyperlink" Target="https://trebuco.atlassian.net/browse/RCS-28093" TargetMode="External"/><Relationship Id="rId13" Type="http://schemas.openxmlformats.org/officeDocument/2006/relationships/hyperlink" Target="https://trebuco.atlassian.net/browse/RCS-28365" TargetMode="External"/><Relationship Id="rId14" Type="http://schemas.openxmlformats.org/officeDocument/2006/relationships/hyperlink" Target="https://trebuco.atlassian.net/browse/RCS-28415" TargetMode="External"/><Relationship Id="rId15" Type="http://schemas.openxmlformats.org/officeDocument/2006/relationships/hyperlink" Target="https://trebuco.atlassian.net/browse/RCS-28115" TargetMode="External"/><Relationship Id="rId16" Type="http://schemas.openxmlformats.org/officeDocument/2006/relationships/hyperlink" Target="https://trebuco.atlassian.net/browse/RCS-28123" TargetMode="External"/><Relationship Id="rId17" Type="http://schemas.openxmlformats.org/officeDocument/2006/relationships/hyperlink" Target="https://trebuco.atlassian.net/browse/RCS-28196" TargetMode="External"/><Relationship Id="rId18" Type="http://schemas.openxmlformats.org/officeDocument/2006/relationships/hyperlink" Target="https://trebuco.atlassian.net/browse/RCS-28304" TargetMode="External"/><Relationship Id="rId19" Type="http://schemas.openxmlformats.org/officeDocument/2006/relationships/hyperlink" Target="https://trebuco.atlassian.net/browse/RCS-28369" TargetMode="External"/><Relationship Id="rId20" Type="http://schemas.openxmlformats.org/officeDocument/2006/relationships/hyperlink" Target="https://trebuco.atlassian.net/browse/RCS-28378" TargetMode="External"/><Relationship Id="rId21" Type="http://schemas.openxmlformats.org/officeDocument/2006/relationships/hyperlink" Target="https://trebuco.atlassian.net/browse/RCS-28025" TargetMode="External"/><Relationship Id="rId22" Type="http://schemas.openxmlformats.org/officeDocument/2006/relationships/hyperlink" Target="https://trebuco.atlassian.net/browse/RCS-28124" TargetMode="External"/><Relationship Id="rId23" Type="http://schemas.openxmlformats.org/officeDocument/2006/relationships/hyperlink" Target="https://trebuco.atlassian.net/browse/RCS-28021" TargetMode="External"/><Relationship Id="rId24" Type="http://schemas.openxmlformats.org/officeDocument/2006/relationships/hyperlink" Target="https://trebuco.atlassian.net/browse/RCS-28161" TargetMode="External"/><Relationship Id="rId25" Type="http://schemas.openxmlformats.org/officeDocument/2006/relationships/hyperlink" Target="https://trebuco.atlassian.net/browse/RCS-28413" TargetMode="External"/><Relationship Id="rId26" Type="http://schemas.openxmlformats.org/officeDocument/2006/relationships/hyperlink" Target="https://trebuco.atlassian.net/browse/RCS-28075" TargetMode="External"/><Relationship Id="rId27" Type="http://schemas.openxmlformats.org/officeDocument/2006/relationships/hyperlink" Target="https://trebuco.atlassian.net/browse/RCS-28353" TargetMode="External"/><Relationship Id="rId28" Type="http://schemas.openxmlformats.org/officeDocument/2006/relationships/hyperlink" Target="https://trebuco.atlassian.net/browse/RCS-28356" TargetMode="External"/><Relationship Id="rId29" Type="http://schemas.openxmlformats.org/officeDocument/2006/relationships/hyperlink" Target="https://trebuco.atlassian.net/browse/RCS-28407" TargetMode="External"/><Relationship Id="rId30" Type="http://schemas.openxmlformats.org/officeDocument/2006/relationships/hyperlink" Target="https://trebuco.atlassian.net/browse/RCS-28030" TargetMode="External"/><Relationship Id="rId31" Type="http://schemas.openxmlformats.org/officeDocument/2006/relationships/hyperlink" Target="https://trebuco.atlassian.net/browse/RCS-28041" TargetMode="External"/><Relationship Id="rId32" Type="http://schemas.openxmlformats.org/officeDocument/2006/relationships/hyperlink" Target="https://trebuco.atlassian.net/browse/RCS-28109" TargetMode="External"/><Relationship Id="rId33" Type="http://schemas.openxmlformats.org/officeDocument/2006/relationships/hyperlink" Target="https://trebuco.atlassian.net/browse/RCS-28281" TargetMode="External"/><Relationship Id="rId34" Type="http://schemas.openxmlformats.org/officeDocument/2006/relationships/hyperlink" Target="https://trebuco.atlassian.net/browse/RCS-28125" TargetMode="External"/><Relationship Id="rId35" Type="http://schemas.openxmlformats.org/officeDocument/2006/relationships/hyperlink" Target="https://trebuco.atlassian.net/browse/RCS-2829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6"/>
  <sheetViews>
    <sheetView showFormulas="false" showGridLines="false" showRowColHeaders="true" showZeros="true" rightToLeft="false" tabSelected="true" showOutlineSymbols="true" defaultGridColor="true" view="normal" topLeftCell="A22"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19"/>
    <col collapsed="false" customWidth="true" hidden="false" outlineLevel="0" max="4" min="4" style="0" width="18"/>
    <col collapsed="false" customWidth="true" hidden="false" outlineLevel="0" max="5" min="5" style="0" width="14"/>
    <col collapsed="false" customWidth="true" hidden="false" outlineLevel="0" max="7" min="6" style="0" width="10"/>
    <col collapsed="false" customWidth="true" hidden="false" outlineLevel="0" max="8" min="8" style="0" width="45"/>
    <col collapsed="false" customWidth="true" hidden="false" outlineLevel="0" max="9" min="9" style="0" width="47"/>
    <col collapsed="false" customWidth="true" hidden="false" outlineLevel="0" max="10" min="10" style="0" width="29"/>
  </cols>
  <sheetData>
    <row r="1" customFormat="false" ht="31.5" hidden="false" customHeight="true" outlineLevel="0" collapsed="false">
      <c r="A1" s="1" t="s">
        <v>0</v>
      </c>
      <c r="B1" s="1"/>
      <c r="C1" s="1"/>
      <c r="D1" s="1"/>
      <c r="E1" s="1"/>
      <c r="F1" s="1"/>
      <c r="G1" s="1"/>
      <c r="H1" s="1"/>
      <c r="I1" s="1"/>
      <c r="J1" s="1"/>
    </row>
    <row r="2" customFormat="false" ht="15.75" hidden="false" customHeight="true" outlineLevel="0" collapsed="false">
      <c r="A2" s="2" t="s">
        <v>1</v>
      </c>
      <c r="B2" s="2"/>
      <c r="C2" s="2"/>
      <c r="D2" s="2"/>
      <c r="E2" s="2"/>
      <c r="F2" s="2"/>
      <c r="G2" s="2"/>
      <c r="H2" s="2"/>
      <c r="I2" s="2"/>
      <c r="J2" s="2"/>
    </row>
    <row r="3" customFormat="false" ht="15.75" hidden="false" customHeight="true" outlineLevel="0" collapsed="false">
      <c r="A3" s="3" t="s">
        <v>2</v>
      </c>
      <c r="B3" s="3"/>
      <c r="C3" s="3"/>
      <c r="D3" s="3"/>
      <c r="E3" s="3"/>
      <c r="F3" s="3"/>
      <c r="G3" s="3"/>
      <c r="H3" s="3"/>
      <c r="I3" s="3"/>
      <c r="J3" s="3"/>
    </row>
    <row r="5" customFormat="false" ht="24" hidden="false" customHeight="true" outlineLevel="0" collapsed="false">
      <c r="A5" s="4" t="s">
        <v>3</v>
      </c>
    </row>
    <row r="6" customFormat="false" ht="33.75" hidden="false" customHeight="true" outlineLevel="0" collapsed="false">
      <c r="A6" s="5" t="s">
        <v>4</v>
      </c>
      <c r="B6" s="5"/>
      <c r="C6" s="6" t="s">
        <v>5</v>
      </c>
      <c r="D6" s="6" t="s">
        <v>6</v>
      </c>
      <c r="E6" s="6" t="s">
        <v>7</v>
      </c>
      <c r="F6" s="6" t="s">
        <v>8</v>
      </c>
      <c r="G6" s="6" t="s">
        <v>9</v>
      </c>
    </row>
    <row r="7" customFormat="false" ht="18" hidden="false" customHeight="true" outlineLevel="0" collapsed="false">
      <c r="A7" s="7" t="s">
        <v>10</v>
      </c>
      <c r="B7" s="7"/>
      <c r="C7" s="8" t="n">
        <f aca="false">COUNTA(A23:A26)</f>
        <v>4</v>
      </c>
      <c r="D7" s="8" t="n">
        <f aca="false">COUNTIF(D23:D26,"Resolved")</f>
        <v>4</v>
      </c>
      <c r="E7" s="8" t="n">
        <f aca="false">COUNTIF(D23:D26,"Pending Ahold verification")</f>
        <v>0</v>
      </c>
      <c r="F7" s="8" t="n">
        <f aca="false">COUNTIF(D23:D26,"Awaiting Ahold input")</f>
        <v>0</v>
      </c>
      <c r="G7" s="8" t="n">
        <f aca="false">COUNTIF(D23:D26,"Active with Appriss")</f>
        <v>0</v>
      </c>
    </row>
    <row r="8" customFormat="false" ht="18" hidden="false" customHeight="true" outlineLevel="0" collapsed="false">
      <c r="A8" s="9" t="s">
        <v>11</v>
      </c>
      <c r="B8" s="9"/>
      <c r="C8" s="10" t="n">
        <f aca="false">COUNTA(A28:A32)</f>
        <v>5</v>
      </c>
      <c r="D8" s="10" t="n">
        <f aca="false">COUNTIF(D28:D32,"Resolved")</f>
        <v>1</v>
      </c>
      <c r="E8" s="10" t="n">
        <f aca="false">COUNTIF(D28:D32,"Pending Ahold verification")</f>
        <v>3</v>
      </c>
      <c r="F8" s="10" t="n">
        <f aca="false">COUNTIF(D28:D32,"Awaiting Ahold input")</f>
        <v>0</v>
      </c>
      <c r="G8" s="10" t="n">
        <f aca="false">COUNTIF(D28:D32,"Active with Appriss")</f>
        <v>1</v>
      </c>
    </row>
    <row r="9" customFormat="false" ht="18" hidden="false" customHeight="true" outlineLevel="0" collapsed="false">
      <c r="A9" s="7" t="s">
        <v>12</v>
      </c>
      <c r="B9" s="7"/>
      <c r="C9" s="8" t="n">
        <f aca="false">COUNTA(A34:A38)</f>
        <v>5</v>
      </c>
      <c r="D9" s="8" t="n">
        <f aca="false">COUNTIF(D34:D38,"Resolved")</f>
        <v>3</v>
      </c>
      <c r="E9" s="8" t="n">
        <f aca="false">COUNTIF(D34:D38,"Pending Ahold verification")</f>
        <v>0</v>
      </c>
      <c r="F9" s="8" t="n">
        <f aca="false">COUNTIF(D34:D38,"Awaiting Ahold input")</f>
        <v>0</v>
      </c>
      <c r="G9" s="8" t="n">
        <f aca="false">COUNTIF(D34:D38,"Active with Appriss")</f>
        <v>2</v>
      </c>
    </row>
    <row r="10" customFormat="false" ht="18" hidden="false" customHeight="true" outlineLevel="0" collapsed="false">
      <c r="A10" s="9" t="s">
        <v>13</v>
      </c>
      <c r="B10" s="9"/>
      <c r="C10" s="10" t="n">
        <f aca="false">COUNTA(A40:A45)</f>
        <v>6</v>
      </c>
      <c r="D10" s="10" t="n">
        <f aca="false">COUNTIF(D40:D45,"Resolved")</f>
        <v>2</v>
      </c>
      <c r="E10" s="10" t="n">
        <f aca="false">COUNTIF(D40:D45,"Pending Ahold verification")</f>
        <v>0</v>
      </c>
      <c r="F10" s="10" t="n">
        <f aca="false">COUNTIF(D40:D45,"Awaiting Ahold input")</f>
        <v>2</v>
      </c>
      <c r="G10" s="10" t="n">
        <f aca="false">COUNTIF(D40:D45,"Active with Appriss")</f>
        <v>2</v>
      </c>
    </row>
    <row r="11" customFormat="false" ht="18" hidden="false" customHeight="true" outlineLevel="0" collapsed="false">
      <c r="A11" s="7" t="s">
        <v>14</v>
      </c>
      <c r="B11" s="7"/>
      <c r="C11" s="8" t="n">
        <f aca="false">COUNTA(A47:A48)</f>
        <v>2</v>
      </c>
      <c r="D11" s="8" t="n">
        <f aca="false">COUNTIF(D47:D48,"Resolved")</f>
        <v>1</v>
      </c>
      <c r="E11" s="8" t="n">
        <f aca="false">COUNTIF(D47:D48,"Pending Ahold verification")</f>
        <v>1</v>
      </c>
      <c r="F11" s="8" t="n">
        <f aca="false">COUNTIF(D47:D48,"Awaiting Ahold input")</f>
        <v>0</v>
      </c>
      <c r="G11" s="8" t="n">
        <f aca="false">COUNTIF(D47:D48,"Active with Appriss")</f>
        <v>0</v>
      </c>
    </row>
    <row r="12" customFormat="false" ht="18" hidden="false" customHeight="true" outlineLevel="0" collapsed="false">
      <c r="A12" s="9" t="s">
        <v>15</v>
      </c>
      <c r="B12" s="9"/>
      <c r="C12" s="10" t="n">
        <f aca="false">COUNTA(A50:A52)</f>
        <v>3</v>
      </c>
      <c r="D12" s="10" t="n">
        <f aca="false">COUNTIF(D50:D52,"Resolved")</f>
        <v>0</v>
      </c>
      <c r="E12" s="10" t="n">
        <f aca="false">COUNTIF(D50:D52,"Pending Ahold verification")</f>
        <v>0</v>
      </c>
      <c r="F12" s="10" t="n">
        <f aca="false">COUNTIF(D50:D52,"Awaiting Ahold input")</f>
        <v>0</v>
      </c>
      <c r="G12" s="10" t="n">
        <f aca="false">COUNTIF(D50:D52,"Active with Appriss")</f>
        <v>3</v>
      </c>
    </row>
    <row r="13" customFormat="false" ht="18" hidden="false" customHeight="true" outlineLevel="0" collapsed="false">
      <c r="A13" s="7" t="s">
        <v>16</v>
      </c>
      <c r="B13" s="7"/>
      <c r="C13" s="8" t="n">
        <f aca="false">COUNTA(A54:A57)</f>
        <v>4</v>
      </c>
      <c r="D13" s="8" t="n">
        <f aca="false">COUNTIF(D54:D57,"Resolved")</f>
        <v>1</v>
      </c>
      <c r="E13" s="8" t="n">
        <f aca="false">COUNTIF(D54:D57,"Pending Ahold verification")</f>
        <v>0</v>
      </c>
      <c r="F13" s="8" t="n">
        <f aca="false">COUNTIF(D54:D57,"Awaiting Ahold input")</f>
        <v>0</v>
      </c>
      <c r="G13" s="8" t="n">
        <f aca="false">COUNTIF(D54:D57,"Active with Appriss")</f>
        <v>3</v>
      </c>
    </row>
    <row r="14" customFormat="false" ht="18" hidden="false" customHeight="true" outlineLevel="0" collapsed="false">
      <c r="A14" s="9" t="s">
        <v>17</v>
      </c>
      <c r="B14" s="9"/>
      <c r="C14" s="10" t="n">
        <f aca="false">COUNTA(A59:A61)</f>
        <v>3</v>
      </c>
      <c r="D14" s="10" t="n">
        <f aca="false">COUNTIF(D59:D61,"Resolved")</f>
        <v>3</v>
      </c>
      <c r="E14" s="10" t="n">
        <f aca="false">COUNTIF(D59:D61,"Pending Ahold verification")</f>
        <v>0</v>
      </c>
      <c r="F14" s="10" t="n">
        <f aca="false">COUNTIF(D59:D61,"Awaiting Ahold input")</f>
        <v>0</v>
      </c>
      <c r="G14" s="10" t="n">
        <f aca="false">COUNTIF(D59:D61,"Active with Appriss")</f>
        <v>0</v>
      </c>
    </row>
    <row r="15" customFormat="false" ht="18" hidden="false" customHeight="true" outlineLevel="0" collapsed="false">
      <c r="A15" s="7" t="s">
        <v>18</v>
      </c>
      <c r="B15" s="7"/>
      <c r="C15" s="8" t="n">
        <f aca="false">COUNTA(A63:A64)</f>
        <v>2</v>
      </c>
      <c r="D15" s="8" t="n">
        <f aca="false">COUNTIF(D63:D64,"Resolved")</f>
        <v>1</v>
      </c>
      <c r="E15" s="8" t="n">
        <f aca="false">COUNTIF(D63:D64,"Pending Ahold verification")</f>
        <v>0</v>
      </c>
      <c r="F15" s="8" t="n">
        <f aca="false">COUNTIF(D63:D64,"Awaiting Ahold input")</f>
        <v>0</v>
      </c>
      <c r="G15" s="8" t="n">
        <f aca="false">COUNTIF(D63:D64,"Active with Appriss")</f>
        <v>1</v>
      </c>
    </row>
    <row r="16" customFormat="false" ht="18" hidden="false" customHeight="true" outlineLevel="0" collapsed="false">
      <c r="A16" s="9" t="s">
        <v>19</v>
      </c>
      <c r="B16" s="9"/>
      <c r="C16" s="10" t="n">
        <f aca="false">COUNTA(A66)</f>
        <v>1</v>
      </c>
      <c r="D16" s="10" t="n">
        <f aca="false">COUNTIF(D66,"Resolved")</f>
        <v>0</v>
      </c>
      <c r="E16" s="10" t="n">
        <f aca="false">COUNTIF(D66,"Pending Ahold verification")</f>
        <v>0</v>
      </c>
      <c r="F16" s="10" t="n">
        <f aca="false">COUNTIF(D66,"Awaiting Ahold input")</f>
        <v>0</v>
      </c>
      <c r="G16" s="10" t="n">
        <f aca="false">COUNTIF(D66,"Active with Appriss")</f>
        <v>1</v>
      </c>
    </row>
    <row r="17" customFormat="false" ht="19.5" hidden="false" customHeight="true" outlineLevel="0" collapsed="false">
      <c r="A17" s="11" t="s">
        <v>20</v>
      </c>
      <c r="B17" s="11"/>
      <c r="C17" s="12" t="n">
        <f aca="false">SUM(C7:C16)</f>
        <v>35</v>
      </c>
      <c r="D17" s="12" t="n">
        <f aca="false">SUM(D7:D16)</f>
        <v>16</v>
      </c>
      <c r="E17" s="12" t="n">
        <f aca="false">SUM(E7:E16)</f>
        <v>4</v>
      </c>
      <c r="F17" s="12" t="n">
        <f aca="false">SUM(F7:F16)</f>
        <v>2</v>
      </c>
      <c r="G17" s="12" t="n">
        <f aca="false">SUM(G7:G16)</f>
        <v>13</v>
      </c>
    </row>
    <row r="18" customFormat="false" ht="27.75" hidden="false" customHeight="true" outlineLevel="0" collapsed="false">
      <c r="A18" s="13" t="s">
        <v>21</v>
      </c>
      <c r="B18" s="13"/>
      <c r="C18" s="13"/>
      <c r="D18" s="13"/>
      <c r="E18" s="13"/>
      <c r="F18" s="13"/>
      <c r="G18" s="13"/>
    </row>
    <row r="20" customFormat="false" ht="24" hidden="false" customHeight="true" outlineLevel="0" collapsed="false">
      <c r="A20" s="4" t="s">
        <v>22</v>
      </c>
    </row>
    <row r="21" customFormat="false" ht="21.75" hidden="false" customHeight="true" outlineLevel="0" collapsed="false">
      <c r="A21" s="14" t="s">
        <v>23</v>
      </c>
      <c r="B21" s="14" t="s">
        <v>24</v>
      </c>
      <c r="C21" s="14" t="s">
        <v>25</v>
      </c>
      <c r="D21" s="15" t="s">
        <v>26</v>
      </c>
      <c r="E21" s="14" t="s">
        <v>27</v>
      </c>
      <c r="F21" s="15" t="s">
        <v>28</v>
      </c>
      <c r="G21" s="15" t="s">
        <v>29</v>
      </c>
      <c r="H21" s="14" t="s">
        <v>30</v>
      </c>
      <c r="I21" s="14" t="s">
        <v>31</v>
      </c>
      <c r="J21" s="14" t="s">
        <v>32</v>
      </c>
    </row>
    <row r="22" customFormat="false" ht="21.75" hidden="false" customHeight="true" outlineLevel="0" collapsed="false">
      <c r="A22" s="16" t="s">
        <v>10</v>
      </c>
      <c r="B22" s="16"/>
      <c r="C22" s="16"/>
      <c r="D22" s="16"/>
      <c r="E22" s="16"/>
      <c r="F22" s="16"/>
      <c r="G22" s="16"/>
      <c r="H22" s="16"/>
      <c r="I22" s="16"/>
      <c r="J22" s="16"/>
    </row>
    <row r="23" customFormat="false" ht="58.5" hidden="false" customHeight="true" outlineLevel="0" collapsed="false">
      <c r="A23" s="17" t="s">
        <v>33</v>
      </c>
      <c r="B23" s="18" t="s">
        <v>34</v>
      </c>
      <c r="C23" s="18" t="s">
        <v>35</v>
      </c>
      <c r="D23" s="19" t="s">
        <v>6</v>
      </c>
      <c r="E23" s="20" t="s">
        <v>36</v>
      </c>
      <c r="F23" s="21" t="n">
        <v>46232</v>
      </c>
      <c r="G23" s="21" t="n">
        <v>46246</v>
      </c>
      <c r="H23" s="20" t="s">
        <v>37</v>
      </c>
      <c r="I23" s="20" t="s">
        <v>38</v>
      </c>
      <c r="J23" s="22" t="s">
        <v>39</v>
      </c>
    </row>
    <row r="24" customFormat="false" ht="72" hidden="false" customHeight="true" outlineLevel="0" collapsed="false">
      <c r="A24" s="23" t="s">
        <v>40</v>
      </c>
      <c r="B24" s="24" t="s">
        <v>41</v>
      </c>
      <c r="C24" s="24" t="s">
        <v>35</v>
      </c>
      <c r="D24" s="19" t="s">
        <v>6</v>
      </c>
      <c r="E24" s="25" t="s">
        <v>36</v>
      </c>
      <c r="F24" s="26" t="n">
        <v>46232</v>
      </c>
      <c r="G24" s="26" t="n">
        <v>46238</v>
      </c>
      <c r="H24" s="25" t="s">
        <v>42</v>
      </c>
      <c r="I24" s="25" t="s">
        <v>43</v>
      </c>
      <c r="J24" s="27" t="s">
        <v>44</v>
      </c>
    </row>
    <row r="25" customFormat="false" ht="72" hidden="false" customHeight="true" outlineLevel="0" collapsed="false">
      <c r="A25" s="17" t="s">
        <v>45</v>
      </c>
      <c r="B25" s="18" t="s">
        <v>46</v>
      </c>
      <c r="C25" s="18" t="s">
        <v>35</v>
      </c>
      <c r="D25" s="19" t="s">
        <v>6</v>
      </c>
      <c r="E25" s="20" t="s">
        <v>47</v>
      </c>
      <c r="F25" s="21" t="n">
        <v>46233</v>
      </c>
      <c r="G25" s="21" t="n">
        <v>46247</v>
      </c>
      <c r="H25" s="20" t="s">
        <v>48</v>
      </c>
      <c r="I25" s="20" t="s">
        <v>49</v>
      </c>
      <c r="J25" s="22" t="s">
        <v>50</v>
      </c>
    </row>
    <row r="26" customFormat="false" ht="72" hidden="false" customHeight="true" outlineLevel="0" collapsed="false">
      <c r="A26" s="23" t="s">
        <v>51</v>
      </c>
      <c r="B26" s="24" t="s">
        <v>52</v>
      </c>
      <c r="C26" s="24" t="s">
        <v>53</v>
      </c>
      <c r="D26" s="19" t="s">
        <v>6</v>
      </c>
      <c r="E26" s="25" t="s">
        <v>54</v>
      </c>
      <c r="F26" s="26" t="n">
        <v>46233</v>
      </c>
      <c r="G26" s="26" t="n">
        <v>46248</v>
      </c>
      <c r="H26" s="25" t="s">
        <v>55</v>
      </c>
      <c r="I26" s="25" t="s">
        <v>56</v>
      </c>
      <c r="J26" s="27" t="s">
        <v>57</v>
      </c>
    </row>
    <row r="27" customFormat="false" ht="21.75" hidden="false" customHeight="true" outlineLevel="0" collapsed="false">
      <c r="A27" s="16" t="s">
        <v>11</v>
      </c>
      <c r="B27" s="16"/>
      <c r="C27" s="16"/>
      <c r="D27" s="16"/>
      <c r="E27" s="16"/>
      <c r="F27" s="16"/>
      <c r="G27" s="16"/>
      <c r="H27" s="16"/>
      <c r="I27" s="16"/>
      <c r="J27" s="16"/>
    </row>
    <row r="28" customFormat="false" ht="97.5" hidden="false" customHeight="true" outlineLevel="0" collapsed="false">
      <c r="A28" s="17" t="s">
        <v>58</v>
      </c>
      <c r="B28" s="18" t="s">
        <v>59</v>
      </c>
      <c r="C28" s="18" t="s">
        <v>35</v>
      </c>
      <c r="D28" s="19" t="s">
        <v>6</v>
      </c>
      <c r="E28" s="20" t="s">
        <v>60</v>
      </c>
      <c r="F28" s="21" t="n">
        <v>46237</v>
      </c>
      <c r="G28" s="21" t="n">
        <v>46248</v>
      </c>
      <c r="H28" s="20" t="s">
        <v>61</v>
      </c>
      <c r="I28" s="20" t="s">
        <v>62</v>
      </c>
      <c r="J28" s="22" t="s">
        <v>63</v>
      </c>
    </row>
    <row r="29" customFormat="false" ht="97.5" hidden="false" customHeight="true" outlineLevel="0" collapsed="false">
      <c r="A29" s="23" t="s">
        <v>64</v>
      </c>
      <c r="B29" s="24" t="s">
        <v>65</v>
      </c>
      <c r="C29" s="24" t="s">
        <v>66</v>
      </c>
      <c r="D29" s="28" t="s">
        <v>7</v>
      </c>
      <c r="E29" s="25" t="s">
        <v>36</v>
      </c>
      <c r="F29" s="26" t="n">
        <v>46239</v>
      </c>
      <c r="G29" s="26" t="n">
        <v>46251</v>
      </c>
      <c r="H29" s="25" t="s">
        <v>67</v>
      </c>
      <c r="I29" s="25" t="s">
        <v>68</v>
      </c>
      <c r="J29" s="27" t="s">
        <v>69</v>
      </c>
    </row>
    <row r="30" customFormat="false" ht="84.75" hidden="false" customHeight="true" outlineLevel="0" collapsed="false">
      <c r="A30" s="17" t="s">
        <v>70</v>
      </c>
      <c r="B30" s="18" t="s">
        <v>71</v>
      </c>
      <c r="C30" s="18" t="s">
        <v>66</v>
      </c>
      <c r="D30" s="28" t="s">
        <v>7</v>
      </c>
      <c r="E30" s="20" t="s">
        <v>60</v>
      </c>
      <c r="F30" s="21" t="n">
        <v>46246</v>
      </c>
      <c r="G30" s="21" t="n">
        <v>46251</v>
      </c>
      <c r="H30" s="20" t="s">
        <v>72</v>
      </c>
      <c r="I30" s="20" t="s">
        <v>73</v>
      </c>
      <c r="J30" s="22" t="s">
        <v>74</v>
      </c>
    </row>
    <row r="31" customFormat="false" ht="84.75" hidden="false" customHeight="true" outlineLevel="0" collapsed="false">
      <c r="A31" s="23" t="s">
        <v>75</v>
      </c>
      <c r="B31" s="24" t="s">
        <v>76</v>
      </c>
      <c r="C31" s="24" t="s">
        <v>66</v>
      </c>
      <c r="D31" s="28" t="s">
        <v>7</v>
      </c>
      <c r="E31" s="25" t="s">
        <v>60</v>
      </c>
      <c r="F31" s="26" t="n">
        <v>46247</v>
      </c>
      <c r="G31" s="26" t="n">
        <v>46251</v>
      </c>
      <c r="H31" s="25" t="s">
        <v>77</v>
      </c>
      <c r="I31" s="25" t="s">
        <v>78</v>
      </c>
      <c r="J31" s="27" t="s">
        <v>79</v>
      </c>
    </row>
    <row r="32" customFormat="false" ht="97.5" hidden="false" customHeight="true" outlineLevel="0" collapsed="false">
      <c r="A32" s="17" t="s">
        <v>80</v>
      </c>
      <c r="B32" s="18" t="s">
        <v>81</v>
      </c>
      <c r="C32" s="18" t="s">
        <v>66</v>
      </c>
      <c r="D32" s="29" t="s">
        <v>9</v>
      </c>
      <c r="E32" s="20" t="s">
        <v>82</v>
      </c>
      <c r="F32" s="21" t="n">
        <v>46248</v>
      </c>
      <c r="G32" s="21" t="n">
        <v>46251</v>
      </c>
      <c r="H32" s="20" t="s">
        <v>83</v>
      </c>
      <c r="I32" s="20" t="s">
        <v>84</v>
      </c>
      <c r="J32" s="22" t="s">
        <v>85</v>
      </c>
    </row>
    <row r="33" customFormat="false" ht="21.75" hidden="false" customHeight="true" outlineLevel="0" collapsed="false">
      <c r="A33" s="16" t="s">
        <v>12</v>
      </c>
      <c r="B33" s="16"/>
      <c r="C33" s="16"/>
      <c r="D33" s="16"/>
      <c r="E33" s="16"/>
      <c r="F33" s="16"/>
      <c r="G33" s="16"/>
      <c r="H33" s="16"/>
      <c r="I33" s="16"/>
      <c r="J33" s="16"/>
    </row>
    <row r="34" customFormat="false" ht="72" hidden="false" customHeight="true" outlineLevel="0" collapsed="false">
      <c r="A34" s="17" t="s">
        <v>86</v>
      </c>
      <c r="B34" s="18" t="s">
        <v>87</v>
      </c>
      <c r="C34" s="18" t="s">
        <v>35</v>
      </c>
      <c r="D34" s="19" t="s">
        <v>6</v>
      </c>
      <c r="E34" s="20" t="s">
        <v>36</v>
      </c>
      <c r="F34" s="21" t="n">
        <v>46232</v>
      </c>
      <c r="G34" s="21" t="n">
        <v>46246</v>
      </c>
      <c r="H34" s="20" t="s">
        <v>88</v>
      </c>
      <c r="I34" s="20" t="s">
        <v>89</v>
      </c>
      <c r="J34" s="22" t="s">
        <v>50</v>
      </c>
    </row>
    <row r="35" customFormat="false" ht="72" hidden="false" customHeight="true" outlineLevel="0" collapsed="false">
      <c r="A35" s="23" t="s">
        <v>90</v>
      </c>
      <c r="B35" s="24" t="s">
        <v>91</v>
      </c>
      <c r="C35" s="24" t="s">
        <v>35</v>
      </c>
      <c r="D35" s="19" t="s">
        <v>6</v>
      </c>
      <c r="E35" s="25" t="s">
        <v>36</v>
      </c>
      <c r="F35" s="26" t="n">
        <v>46232</v>
      </c>
      <c r="G35" s="26" t="n">
        <v>46246</v>
      </c>
      <c r="H35" s="25" t="s">
        <v>92</v>
      </c>
      <c r="I35" s="25" t="s">
        <v>93</v>
      </c>
      <c r="J35" s="27" t="s">
        <v>94</v>
      </c>
    </row>
    <row r="36" customFormat="false" ht="84.75" hidden="false" customHeight="true" outlineLevel="0" collapsed="false">
      <c r="A36" s="17" t="s">
        <v>95</v>
      </c>
      <c r="B36" s="18" t="s">
        <v>96</v>
      </c>
      <c r="C36" s="18" t="s">
        <v>97</v>
      </c>
      <c r="D36" s="29" t="s">
        <v>9</v>
      </c>
      <c r="E36" s="20" t="s">
        <v>98</v>
      </c>
      <c r="F36" s="21" t="n">
        <v>46234</v>
      </c>
      <c r="G36" s="21" t="n">
        <v>46251</v>
      </c>
      <c r="H36" s="20" t="s">
        <v>99</v>
      </c>
      <c r="I36" s="20" t="s">
        <v>100</v>
      </c>
      <c r="J36" s="22" t="s">
        <v>101</v>
      </c>
    </row>
    <row r="37" customFormat="false" ht="72" hidden="false" customHeight="true" outlineLevel="0" collapsed="false">
      <c r="A37" s="23" t="s">
        <v>102</v>
      </c>
      <c r="B37" s="24" t="s">
        <v>103</v>
      </c>
      <c r="C37" s="24" t="s">
        <v>66</v>
      </c>
      <c r="D37" s="19" t="s">
        <v>6</v>
      </c>
      <c r="E37" s="25" t="s">
        <v>104</v>
      </c>
      <c r="F37" s="26" t="n">
        <v>46247</v>
      </c>
      <c r="G37" s="26" t="n">
        <v>46251</v>
      </c>
      <c r="H37" s="25" t="s">
        <v>105</v>
      </c>
      <c r="I37" s="25" t="s">
        <v>106</v>
      </c>
      <c r="J37" s="27" t="s">
        <v>107</v>
      </c>
    </row>
    <row r="38" customFormat="false" ht="110.25" hidden="false" customHeight="true" outlineLevel="0" collapsed="false">
      <c r="A38" s="17" t="s">
        <v>108</v>
      </c>
      <c r="B38" s="18" t="s">
        <v>109</v>
      </c>
      <c r="C38" s="18" t="s">
        <v>110</v>
      </c>
      <c r="D38" s="29" t="s">
        <v>9</v>
      </c>
      <c r="E38" s="20" t="s">
        <v>111</v>
      </c>
      <c r="F38" s="21" t="n">
        <v>46251</v>
      </c>
      <c r="G38" s="21" t="n">
        <v>46251</v>
      </c>
      <c r="H38" s="20" t="s">
        <v>112</v>
      </c>
      <c r="I38" s="20" t="s">
        <v>113</v>
      </c>
      <c r="J38" s="22" t="s">
        <v>114</v>
      </c>
    </row>
    <row r="39" customFormat="false" ht="21.75" hidden="false" customHeight="true" outlineLevel="0" collapsed="false">
      <c r="A39" s="16" t="s">
        <v>13</v>
      </c>
      <c r="B39" s="16"/>
      <c r="C39" s="16"/>
      <c r="D39" s="16"/>
      <c r="E39" s="16"/>
      <c r="F39" s="16"/>
      <c r="G39" s="16"/>
      <c r="H39" s="16"/>
      <c r="I39" s="16"/>
      <c r="J39" s="16"/>
    </row>
    <row r="40" customFormat="false" ht="72" hidden="false" customHeight="true" outlineLevel="0" collapsed="false">
      <c r="A40" s="17" t="s">
        <v>115</v>
      </c>
      <c r="B40" s="18" t="s">
        <v>116</v>
      </c>
      <c r="C40" s="18" t="s">
        <v>53</v>
      </c>
      <c r="D40" s="19" t="s">
        <v>6</v>
      </c>
      <c r="E40" s="20" t="s">
        <v>117</v>
      </c>
      <c r="F40" s="21" t="n">
        <v>46235</v>
      </c>
      <c r="G40" s="21" t="n">
        <v>46246</v>
      </c>
      <c r="H40" s="20" t="s">
        <v>118</v>
      </c>
      <c r="I40" s="20" t="s">
        <v>119</v>
      </c>
      <c r="J40" s="22" t="s">
        <v>120</v>
      </c>
    </row>
    <row r="41" customFormat="false" ht="84.75" hidden="false" customHeight="true" outlineLevel="0" collapsed="false">
      <c r="A41" s="23" t="s">
        <v>121</v>
      </c>
      <c r="B41" s="24" t="s">
        <v>122</v>
      </c>
      <c r="C41" s="24" t="s">
        <v>97</v>
      </c>
      <c r="D41" s="29" t="s">
        <v>9</v>
      </c>
      <c r="E41" s="25" t="s">
        <v>60</v>
      </c>
      <c r="F41" s="26" t="n">
        <v>46237</v>
      </c>
      <c r="G41" s="26" t="n">
        <v>46251</v>
      </c>
      <c r="H41" s="25" t="s">
        <v>123</v>
      </c>
      <c r="I41" s="25" t="s">
        <v>124</v>
      </c>
      <c r="J41" s="27" t="s">
        <v>125</v>
      </c>
    </row>
    <row r="42" customFormat="false" ht="110.25" hidden="false" customHeight="true" outlineLevel="0" collapsed="false">
      <c r="A42" s="17" t="s">
        <v>126</v>
      </c>
      <c r="B42" s="18" t="s">
        <v>127</v>
      </c>
      <c r="C42" s="18" t="s">
        <v>128</v>
      </c>
      <c r="D42" s="29" t="s">
        <v>9</v>
      </c>
      <c r="E42" s="20" t="s">
        <v>47</v>
      </c>
      <c r="F42" s="21" t="n">
        <v>46239</v>
      </c>
      <c r="G42" s="21" t="n">
        <v>46251</v>
      </c>
      <c r="H42" s="20" t="s">
        <v>129</v>
      </c>
      <c r="I42" s="20" t="s">
        <v>130</v>
      </c>
      <c r="J42" s="22" t="s">
        <v>125</v>
      </c>
    </row>
    <row r="43" customFormat="false" ht="110.25" hidden="false" customHeight="true" outlineLevel="0" collapsed="false">
      <c r="A43" s="23" t="s">
        <v>131</v>
      </c>
      <c r="B43" s="24" t="s">
        <v>132</v>
      </c>
      <c r="C43" s="24" t="s">
        <v>97</v>
      </c>
      <c r="D43" s="30" t="s">
        <v>8</v>
      </c>
      <c r="E43" s="25" t="s">
        <v>47</v>
      </c>
      <c r="F43" s="26" t="n">
        <v>46245</v>
      </c>
      <c r="G43" s="26" t="n">
        <v>46251</v>
      </c>
      <c r="H43" s="25" t="s">
        <v>133</v>
      </c>
      <c r="I43" s="25" t="s">
        <v>134</v>
      </c>
      <c r="J43" s="27" t="s">
        <v>135</v>
      </c>
    </row>
    <row r="44" customFormat="false" ht="97.5" hidden="false" customHeight="true" outlineLevel="0" collapsed="false">
      <c r="A44" s="17" t="s">
        <v>136</v>
      </c>
      <c r="B44" s="18" t="s">
        <v>137</v>
      </c>
      <c r="C44" s="18" t="s">
        <v>66</v>
      </c>
      <c r="D44" s="19" t="s">
        <v>6</v>
      </c>
      <c r="E44" s="20" t="s">
        <v>36</v>
      </c>
      <c r="F44" s="21" t="n">
        <v>46247</v>
      </c>
      <c r="G44" s="21" t="n">
        <v>46251</v>
      </c>
      <c r="H44" s="20" t="s">
        <v>138</v>
      </c>
      <c r="I44" s="20" t="s">
        <v>139</v>
      </c>
      <c r="J44" s="22" t="s">
        <v>140</v>
      </c>
    </row>
    <row r="45" customFormat="false" ht="97.5" hidden="false" customHeight="true" outlineLevel="0" collapsed="false">
      <c r="A45" s="23" t="s">
        <v>141</v>
      </c>
      <c r="B45" s="24" t="s">
        <v>142</v>
      </c>
      <c r="C45" s="24" t="s">
        <v>110</v>
      </c>
      <c r="D45" s="30" t="s">
        <v>8</v>
      </c>
      <c r="E45" s="25" t="s">
        <v>111</v>
      </c>
      <c r="F45" s="26" t="n">
        <v>46248</v>
      </c>
      <c r="G45" s="26" t="n">
        <v>46251</v>
      </c>
      <c r="H45" s="25" t="s">
        <v>143</v>
      </c>
      <c r="I45" s="25" t="s">
        <v>144</v>
      </c>
      <c r="J45" s="27" t="s">
        <v>79</v>
      </c>
    </row>
    <row r="46" customFormat="false" ht="21.75" hidden="false" customHeight="true" outlineLevel="0" collapsed="false">
      <c r="A46" s="16" t="s">
        <v>14</v>
      </c>
      <c r="B46" s="16"/>
      <c r="C46" s="16"/>
      <c r="D46" s="16"/>
      <c r="E46" s="16"/>
      <c r="F46" s="16"/>
      <c r="G46" s="16"/>
      <c r="H46" s="16"/>
      <c r="I46" s="16"/>
      <c r="J46" s="16"/>
    </row>
    <row r="47" customFormat="false" ht="97.5" hidden="false" customHeight="true" outlineLevel="0" collapsed="false">
      <c r="A47" s="17" t="s">
        <v>145</v>
      </c>
      <c r="B47" s="18" t="s">
        <v>146</v>
      </c>
      <c r="C47" s="18" t="s">
        <v>35</v>
      </c>
      <c r="D47" s="19" t="s">
        <v>6</v>
      </c>
      <c r="E47" s="20" t="s">
        <v>36</v>
      </c>
      <c r="F47" s="21" t="n">
        <v>46232</v>
      </c>
      <c r="G47" s="21" t="n">
        <v>46246</v>
      </c>
      <c r="H47" s="20" t="s">
        <v>147</v>
      </c>
      <c r="I47" s="20" t="s">
        <v>148</v>
      </c>
      <c r="J47" s="22" t="s">
        <v>149</v>
      </c>
    </row>
    <row r="48" customFormat="false" ht="84.75" hidden="false" customHeight="true" outlineLevel="0" collapsed="false">
      <c r="A48" s="23" t="s">
        <v>150</v>
      </c>
      <c r="B48" s="24" t="s">
        <v>151</v>
      </c>
      <c r="C48" s="24" t="s">
        <v>66</v>
      </c>
      <c r="D48" s="28" t="s">
        <v>7</v>
      </c>
      <c r="E48" s="25" t="s">
        <v>60</v>
      </c>
      <c r="F48" s="26" t="n">
        <v>46237</v>
      </c>
      <c r="G48" s="26" t="n">
        <v>46251</v>
      </c>
      <c r="H48" s="25" t="s">
        <v>152</v>
      </c>
      <c r="I48" s="25" t="s">
        <v>153</v>
      </c>
      <c r="J48" s="27" t="s">
        <v>154</v>
      </c>
    </row>
    <row r="49" customFormat="false" ht="21.75" hidden="false" customHeight="true" outlineLevel="0" collapsed="false">
      <c r="A49" s="16" t="s">
        <v>15</v>
      </c>
      <c r="B49" s="16"/>
      <c r="C49" s="16"/>
      <c r="D49" s="16"/>
      <c r="E49" s="16"/>
      <c r="F49" s="16"/>
      <c r="G49" s="16"/>
      <c r="H49" s="16"/>
      <c r="I49" s="16"/>
      <c r="J49" s="16"/>
    </row>
    <row r="50" customFormat="false" ht="148.5" hidden="false" customHeight="true" outlineLevel="0" collapsed="false">
      <c r="A50" s="17" t="s">
        <v>155</v>
      </c>
      <c r="B50" s="18" t="s">
        <v>156</v>
      </c>
      <c r="C50" s="18" t="s">
        <v>97</v>
      </c>
      <c r="D50" s="29" t="s">
        <v>9</v>
      </c>
      <c r="E50" s="20" t="s">
        <v>60</v>
      </c>
      <c r="F50" s="21" t="n">
        <v>46232</v>
      </c>
      <c r="G50" s="21" t="n">
        <v>46251</v>
      </c>
      <c r="H50" s="20" t="s">
        <v>157</v>
      </c>
      <c r="I50" s="20" t="s">
        <v>158</v>
      </c>
      <c r="J50" s="22" t="s">
        <v>159</v>
      </c>
    </row>
    <row r="51" customFormat="false" ht="72" hidden="false" customHeight="true" outlineLevel="0" collapsed="false">
      <c r="A51" s="23" t="s">
        <v>160</v>
      </c>
      <c r="B51" s="24" t="s">
        <v>161</v>
      </c>
      <c r="C51" s="24" t="s">
        <v>162</v>
      </c>
      <c r="D51" s="29" t="s">
        <v>9</v>
      </c>
      <c r="E51" s="25" t="s">
        <v>163</v>
      </c>
      <c r="F51" s="26" t="n">
        <v>46238</v>
      </c>
      <c r="G51" s="26" t="n">
        <v>46251</v>
      </c>
      <c r="H51" s="25" t="s">
        <v>164</v>
      </c>
      <c r="I51" s="25" t="s">
        <v>165</v>
      </c>
      <c r="J51" s="27" t="s">
        <v>166</v>
      </c>
    </row>
    <row r="52" customFormat="false" ht="97.5" hidden="false" customHeight="true" outlineLevel="0" collapsed="false">
      <c r="A52" s="17" t="s">
        <v>167</v>
      </c>
      <c r="B52" s="18" t="s">
        <v>168</v>
      </c>
      <c r="C52" s="18" t="s">
        <v>110</v>
      </c>
      <c r="D52" s="29" t="s">
        <v>9</v>
      </c>
      <c r="E52" s="20" t="s">
        <v>111</v>
      </c>
      <c r="F52" s="21" t="n">
        <v>46251</v>
      </c>
      <c r="G52" s="21" t="n">
        <v>46251</v>
      </c>
      <c r="H52" s="20" t="s">
        <v>169</v>
      </c>
      <c r="I52" s="20" t="s">
        <v>170</v>
      </c>
      <c r="J52" s="22" t="s">
        <v>114</v>
      </c>
    </row>
    <row r="53" customFormat="false" ht="21.75" hidden="false" customHeight="true" outlineLevel="0" collapsed="false">
      <c r="A53" s="16" t="s">
        <v>16</v>
      </c>
      <c r="B53" s="16"/>
      <c r="C53" s="16"/>
      <c r="D53" s="16"/>
      <c r="E53" s="16"/>
      <c r="F53" s="16"/>
      <c r="G53" s="16"/>
      <c r="H53" s="16"/>
      <c r="I53" s="16"/>
      <c r="J53" s="16"/>
    </row>
    <row r="54" customFormat="false" ht="72" hidden="false" customHeight="true" outlineLevel="0" collapsed="false">
      <c r="A54" s="17" t="s">
        <v>171</v>
      </c>
      <c r="B54" s="18" t="s">
        <v>172</v>
      </c>
      <c r="C54" s="18" t="s">
        <v>35</v>
      </c>
      <c r="D54" s="19" t="s">
        <v>6</v>
      </c>
      <c r="E54" s="20" t="s">
        <v>47</v>
      </c>
      <c r="F54" s="21" t="n">
        <v>46233</v>
      </c>
      <c r="G54" s="21" t="n">
        <v>46247</v>
      </c>
      <c r="H54" s="20" t="s">
        <v>173</v>
      </c>
      <c r="I54" s="20" t="s">
        <v>174</v>
      </c>
      <c r="J54" s="22" t="s">
        <v>175</v>
      </c>
    </row>
    <row r="55" customFormat="false" ht="123" hidden="false" customHeight="true" outlineLevel="0" collapsed="false">
      <c r="A55" s="23" t="s">
        <v>176</v>
      </c>
      <c r="B55" s="24" t="s">
        <v>177</v>
      </c>
      <c r="C55" s="24" t="s">
        <v>97</v>
      </c>
      <c r="D55" s="29" t="s">
        <v>9</v>
      </c>
      <c r="E55" s="25" t="s">
        <v>60</v>
      </c>
      <c r="F55" s="26" t="n">
        <v>46247</v>
      </c>
      <c r="G55" s="26" t="n">
        <v>46251</v>
      </c>
      <c r="H55" s="25" t="s">
        <v>178</v>
      </c>
      <c r="I55" s="25" t="s">
        <v>179</v>
      </c>
      <c r="J55" s="27" t="s">
        <v>180</v>
      </c>
    </row>
    <row r="56" customFormat="false" ht="135.75" hidden="false" customHeight="true" outlineLevel="0" collapsed="false">
      <c r="A56" s="17" t="s">
        <v>181</v>
      </c>
      <c r="B56" s="18" t="s">
        <v>182</v>
      </c>
      <c r="C56" s="18" t="s">
        <v>97</v>
      </c>
      <c r="D56" s="29" t="s">
        <v>9</v>
      </c>
      <c r="E56" s="20" t="s">
        <v>183</v>
      </c>
      <c r="F56" s="21" t="n">
        <v>46247</v>
      </c>
      <c r="G56" s="21" t="n">
        <v>46251</v>
      </c>
      <c r="H56" s="20" t="s">
        <v>184</v>
      </c>
      <c r="I56" s="20" t="s">
        <v>185</v>
      </c>
      <c r="J56" s="22" t="s">
        <v>180</v>
      </c>
    </row>
    <row r="57" customFormat="false" ht="110.25" hidden="false" customHeight="true" outlineLevel="0" collapsed="false">
      <c r="A57" s="23" t="s">
        <v>186</v>
      </c>
      <c r="B57" s="24" t="s">
        <v>187</v>
      </c>
      <c r="C57" s="24" t="s">
        <v>110</v>
      </c>
      <c r="D57" s="29" t="s">
        <v>9</v>
      </c>
      <c r="E57" s="25" t="s">
        <v>98</v>
      </c>
      <c r="F57" s="26" t="n">
        <v>46251</v>
      </c>
      <c r="G57" s="26" t="n">
        <v>46251</v>
      </c>
      <c r="H57" s="25" t="s">
        <v>188</v>
      </c>
      <c r="I57" s="25" t="s">
        <v>189</v>
      </c>
      <c r="J57" s="27"/>
    </row>
    <row r="58" customFormat="false" ht="21.75" hidden="false" customHeight="true" outlineLevel="0" collapsed="false">
      <c r="A58" s="16" t="s">
        <v>17</v>
      </c>
      <c r="B58" s="16"/>
      <c r="C58" s="16"/>
      <c r="D58" s="16"/>
      <c r="E58" s="16"/>
      <c r="F58" s="16"/>
      <c r="G58" s="16"/>
      <c r="H58" s="16"/>
      <c r="I58" s="16"/>
      <c r="J58" s="16"/>
    </row>
    <row r="59" customFormat="false" ht="58.5" hidden="false" customHeight="true" outlineLevel="0" collapsed="false">
      <c r="A59" s="17" t="s">
        <v>190</v>
      </c>
      <c r="B59" s="18" t="s">
        <v>191</v>
      </c>
      <c r="C59" s="18" t="s">
        <v>35</v>
      </c>
      <c r="D59" s="19" t="s">
        <v>6</v>
      </c>
      <c r="E59" s="20" t="s">
        <v>60</v>
      </c>
      <c r="F59" s="21" t="n">
        <v>46232</v>
      </c>
      <c r="G59" s="21" t="n">
        <v>46247</v>
      </c>
      <c r="H59" s="20" t="s">
        <v>192</v>
      </c>
      <c r="I59" s="20" t="s">
        <v>193</v>
      </c>
      <c r="J59" s="22" t="s">
        <v>194</v>
      </c>
    </row>
    <row r="60" customFormat="false" ht="97.5" hidden="false" customHeight="true" outlineLevel="0" collapsed="false">
      <c r="A60" s="23" t="s">
        <v>195</v>
      </c>
      <c r="B60" s="24" t="s">
        <v>196</v>
      </c>
      <c r="C60" s="24" t="s">
        <v>35</v>
      </c>
      <c r="D60" s="19" t="s">
        <v>6</v>
      </c>
      <c r="E60" s="25" t="s">
        <v>36</v>
      </c>
      <c r="F60" s="26" t="n">
        <v>46232</v>
      </c>
      <c r="G60" s="26" t="n">
        <v>46238</v>
      </c>
      <c r="H60" s="25" t="s">
        <v>197</v>
      </c>
      <c r="I60" s="25" t="s">
        <v>198</v>
      </c>
      <c r="J60" s="27" t="s">
        <v>199</v>
      </c>
    </row>
    <row r="61" customFormat="false" ht="58.5" hidden="false" customHeight="true" outlineLevel="0" collapsed="false">
      <c r="A61" s="17" t="s">
        <v>200</v>
      </c>
      <c r="B61" s="18" t="s">
        <v>201</v>
      </c>
      <c r="C61" s="18" t="s">
        <v>53</v>
      </c>
      <c r="D61" s="19" t="s">
        <v>6</v>
      </c>
      <c r="E61" s="20" t="s">
        <v>202</v>
      </c>
      <c r="F61" s="21" t="n">
        <v>46234</v>
      </c>
      <c r="G61" s="21" t="n">
        <v>46248</v>
      </c>
      <c r="H61" s="20" t="s">
        <v>203</v>
      </c>
      <c r="I61" s="20" t="s">
        <v>204</v>
      </c>
      <c r="J61" s="22" t="s">
        <v>205</v>
      </c>
    </row>
    <row r="62" customFormat="false" ht="21.75" hidden="false" customHeight="true" outlineLevel="0" collapsed="false">
      <c r="A62" s="16" t="s">
        <v>18</v>
      </c>
      <c r="B62" s="16"/>
      <c r="C62" s="16"/>
      <c r="D62" s="16"/>
      <c r="E62" s="16"/>
      <c r="F62" s="16"/>
      <c r="G62" s="16"/>
      <c r="H62" s="16"/>
      <c r="I62" s="16"/>
      <c r="J62" s="16"/>
    </row>
    <row r="63" customFormat="false" ht="97.5" hidden="false" customHeight="true" outlineLevel="0" collapsed="false">
      <c r="A63" s="17" t="s">
        <v>206</v>
      </c>
      <c r="B63" s="18" t="s">
        <v>207</v>
      </c>
      <c r="C63" s="18" t="s">
        <v>110</v>
      </c>
      <c r="D63" s="29" t="s">
        <v>9</v>
      </c>
      <c r="E63" s="20" t="s">
        <v>98</v>
      </c>
      <c r="F63" s="21" t="n">
        <v>46245</v>
      </c>
      <c r="G63" s="21" t="n">
        <v>46247</v>
      </c>
      <c r="H63" s="20" t="s">
        <v>208</v>
      </c>
      <c r="I63" s="20" t="s">
        <v>209</v>
      </c>
      <c r="J63" s="22" t="s">
        <v>210</v>
      </c>
    </row>
    <row r="64" customFormat="false" ht="72" hidden="false" customHeight="true" outlineLevel="0" collapsed="false">
      <c r="A64" s="23" t="s">
        <v>211</v>
      </c>
      <c r="B64" s="24" t="s">
        <v>212</v>
      </c>
      <c r="C64" s="24" t="s">
        <v>53</v>
      </c>
      <c r="D64" s="19" t="s">
        <v>6</v>
      </c>
      <c r="E64" s="25" t="s">
        <v>213</v>
      </c>
      <c r="F64" s="26" t="n">
        <v>46237</v>
      </c>
      <c r="G64" s="26" t="n">
        <v>46251</v>
      </c>
      <c r="H64" s="25" t="s">
        <v>214</v>
      </c>
      <c r="I64" s="25" t="s">
        <v>215</v>
      </c>
      <c r="J64" s="27" t="s">
        <v>210</v>
      </c>
    </row>
    <row r="65" customFormat="false" ht="21.75" hidden="false" customHeight="true" outlineLevel="0" collapsed="false">
      <c r="A65" s="16" t="s">
        <v>19</v>
      </c>
      <c r="B65" s="16"/>
      <c r="C65" s="16"/>
      <c r="D65" s="16"/>
      <c r="E65" s="16"/>
      <c r="F65" s="16"/>
      <c r="G65" s="16"/>
      <c r="H65" s="16"/>
      <c r="I65" s="16"/>
      <c r="J65" s="16"/>
    </row>
    <row r="66" customFormat="false" ht="84.75" hidden="false" customHeight="true" outlineLevel="0" collapsed="false">
      <c r="A66" s="17" t="s">
        <v>216</v>
      </c>
      <c r="B66" s="18" t="s">
        <v>217</v>
      </c>
      <c r="C66" s="18" t="s">
        <v>97</v>
      </c>
      <c r="D66" s="29" t="s">
        <v>9</v>
      </c>
      <c r="E66" s="20" t="s">
        <v>218</v>
      </c>
      <c r="F66" s="21" t="n">
        <v>46245</v>
      </c>
      <c r="G66" s="21" t="n">
        <v>46247</v>
      </c>
      <c r="H66" s="20" t="s">
        <v>219</v>
      </c>
      <c r="I66" s="20" t="s">
        <v>220</v>
      </c>
      <c r="J66" s="22" t="s">
        <v>221</v>
      </c>
    </row>
  </sheetData>
  <mergeCells count="26">
    <mergeCell ref="A1:J1"/>
    <mergeCell ref="A2:J2"/>
    <mergeCell ref="A3:J3"/>
    <mergeCell ref="A6:B6"/>
    <mergeCell ref="A7:B7"/>
    <mergeCell ref="A8:B8"/>
    <mergeCell ref="A9:B9"/>
    <mergeCell ref="A10:B10"/>
    <mergeCell ref="A11:B11"/>
    <mergeCell ref="A12:B12"/>
    <mergeCell ref="A13:B13"/>
    <mergeCell ref="A14:B14"/>
    <mergeCell ref="A15:B15"/>
    <mergeCell ref="A16:B16"/>
    <mergeCell ref="A17:B17"/>
    <mergeCell ref="A18:G18"/>
    <mergeCell ref="A22:J22"/>
    <mergeCell ref="A27:J27"/>
    <mergeCell ref="A33:J33"/>
    <mergeCell ref="A39:J39"/>
    <mergeCell ref="A46:J46"/>
    <mergeCell ref="A49:J49"/>
    <mergeCell ref="A53:J53"/>
    <mergeCell ref="A58:J58"/>
    <mergeCell ref="A62:J62"/>
    <mergeCell ref="A65:J65"/>
  </mergeCells>
  <hyperlinks>
    <hyperlink ref="A23" r:id="rId1" display="RCS-28014"/>
    <hyperlink ref="A24" r:id="rId2" display="RCS-28042"/>
    <hyperlink ref="A25" r:id="rId3" display="RCS-28059"/>
    <hyperlink ref="A26" r:id="rId4" display="RCS-28053"/>
    <hyperlink ref="A28" r:id="rId5" display="RCS-28135"/>
    <hyperlink ref="A29" r:id="rId6" display="RCS-28177"/>
    <hyperlink ref="A30" r:id="rId7" display="RCS-28342"/>
    <hyperlink ref="A31" r:id="rId8" display="RCS-28364"/>
    <hyperlink ref="A32" r:id="rId9" display="RCS-28379"/>
    <hyperlink ref="A34" r:id="rId10" display="RCS-28023"/>
    <hyperlink ref="A35" r:id="rId11" display="RCS-28043"/>
    <hyperlink ref="A36" r:id="rId12" display="RCS-28093"/>
    <hyperlink ref="A37" r:id="rId13" display="RCS-28365"/>
    <hyperlink ref="A38" r:id="rId14" display="RCS-28415"/>
    <hyperlink ref="A40" r:id="rId15" display="RCS-28115"/>
    <hyperlink ref="A41" r:id="rId16" display="RCS-28123"/>
    <hyperlink ref="A42" r:id="rId17" display="RCS-28196"/>
    <hyperlink ref="A43" r:id="rId18" display="RCS-28304"/>
    <hyperlink ref="A44" r:id="rId19" display="RCS-28369"/>
    <hyperlink ref="A45" r:id="rId20" display="RCS-28378"/>
    <hyperlink ref="A47" r:id="rId21" display="RCS-28025"/>
    <hyperlink ref="A48" r:id="rId22" display="RCS-28124"/>
    <hyperlink ref="A50" r:id="rId23" display="RCS-28021"/>
    <hyperlink ref="A51" r:id="rId24" display="RCS-28161"/>
    <hyperlink ref="A52" r:id="rId25" display="RCS-28413"/>
    <hyperlink ref="A54" r:id="rId26" display="RCS-28075"/>
    <hyperlink ref="A55" r:id="rId27" display="RCS-28353"/>
    <hyperlink ref="A56" r:id="rId28" display="RCS-28356"/>
    <hyperlink ref="A57" r:id="rId29" display="RCS-28407"/>
    <hyperlink ref="A59" r:id="rId30" display="RCS-28030"/>
    <hyperlink ref="A60" r:id="rId31" display="RCS-28041"/>
    <hyperlink ref="A61" r:id="rId32" display="RCS-28109"/>
    <hyperlink ref="A63" r:id="rId33" display="RCS-28281"/>
    <hyperlink ref="A64" r:id="rId34" display="RCS-28125"/>
    <hyperlink ref="A66" r:id="rId35" display="RCS-28292"/>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82"/>
    <col collapsed="false" customWidth="true" hidden="false" outlineLevel="0" max="2" min="2" style="0" width="31.73"/>
    <col collapsed="false" customWidth="true" hidden="false" outlineLevel="0" max="3" min="3" style="0" width="28.54"/>
    <col collapsed="false" customWidth="true" hidden="false" outlineLevel="0" max="4" min="4" style="0" width="57.27"/>
    <col collapsed="false" customWidth="true" hidden="false" outlineLevel="0" max="5" min="5" style="0" width="8.27"/>
    <col collapsed="false" customWidth="true" hidden="false" outlineLevel="0" max="6" min="6" style="0" width="11.18"/>
    <col collapsed="false" customWidth="true" hidden="false" outlineLevel="0" max="7" min="7" style="0" width="13.18"/>
    <col collapsed="false" customWidth="true" hidden="false" outlineLevel="0" max="8" min="8" style="0" width="16.54"/>
    <col collapsed="false" customWidth="true" hidden="false" outlineLevel="0" max="9" min="9" style="0" width="10.45"/>
  </cols>
  <sheetData>
    <row r="1" customFormat="false" ht="15" hidden="false" customHeight="false" outlineLevel="0" collapsed="false">
      <c r="A1" s="31" t="s">
        <v>222</v>
      </c>
      <c r="B1" s="31" t="s">
        <v>223</v>
      </c>
      <c r="C1" s="31" t="s">
        <v>224</v>
      </c>
      <c r="D1" s="31" t="s">
        <v>225</v>
      </c>
      <c r="E1" s="31" t="s">
        <v>226</v>
      </c>
      <c r="F1" s="31" t="s">
        <v>227</v>
      </c>
      <c r="G1" s="31" t="s">
        <v>228</v>
      </c>
      <c r="H1" s="31" t="s">
        <v>229</v>
      </c>
      <c r="I1" s="31" t="s">
        <v>230</v>
      </c>
    </row>
    <row r="2" customFormat="false" ht="15" hidden="false" customHeight="false" outlineLevel="0" collapsed="false">
      <c r="A2" s="32" t="n">
        <v>46246</v>
      </c>
      <c r="B2" s="33" t="s">
        <v>231</v>
      </c>
      <c r="C2" s="33" t="s">
        <v>232</v>
      </c>
      <c r="D2" s="33" t="s">
        <v>233</v>
      </c>
      <c r="E2" s="33" t="n">
        <v>1193</v>
      </c>
      <c r="F2" s="33" t="n">
        <v>0</v>
      </c>
      <c r="G2" s="33"/>
      <c r="H2" s="33"/>
      <c r="I2" s="33"/>
    </row>
    <row r="3" customFormat="false" ht="15" hidden="false" customHeight="false" outlineLevel="0" collapsed="false">
      <c r="A3" s="32" t="n">
        <v>46246.6527777778</v>
      </c>
      <c r="B3" s="33" t="s">
        <v>234</v>
      </c>
      <c r="C3" s="33" t="s">
        <v>232</v>
      </c>
      <c r="D3" s="33" t="s">
        <v>235</v>
      </c>
      <c r="E3" s="33" t="n">
        <v>2159</v>
      </c>
      <c r="F3" s="33" t="n">
        <v>0</v>
      </c>
      <c r="G3" s="33"/>
      <c r="H3" s="33"/>
      <c r="I3" s="33"/>
    </row>
    <row r="4" customFormat="false" ht="15" hidden="false" customHeight="false" outlineLevel="0" collapsed="false">
      <c r="A4" s="32" t="n">
        <v>46246.7756944444</v>
      </c>
      <c r="B4" s="33" t="s">
        <v>236</v>
      </c>
      <c r="C4" s="33" t="s">
        <v>232</v>
      </c>
      <c r="D4" s="33" t="s">
        <v>237</v>
      </c>
      <c r="E4" s="33" t="n">
        <v>8351</v>
      </c>
      <c r="F4" s="33" t="n">
        <v>0</v>
      </c>
      <c r="G4" s="33"/>
      <c r="H4" s="33"/>
      <c r="I4" s="33"/>
    </row>
    <row r="5" customFormat="false" ht="15" hidden="false" customHeight="false" outlineLevel="0" collapsed="false">
      <c r="A5" s="32" t="n">
        <v>46246.6597222222</v>
      </c>
      <c r="B5" s="33" t="s">
        <v>238</v>
      </c>
      <c r="C5" s="33" t="s">
        <v>232</v>
      </c>
      <c r="D5" s="33" t="s">
        <v>239</v>
      </c>
      <c r="E5" s="33" t="n">
        <v>8336</v>
      </c>
      <c r="F5" s="33" t="n">
        <v>0</v>
      </c>
      <c r="G5" s="33"/>
      <c r="H5" s="33"/>
      <c r="I5" s="33"/>
    </row>
    <row r="6" customFormat="false" ht="15" hidden="false" customHeight="false" outlineLevel="0" collapsed="false">
      <c r="A6" s="32" t="n">
        <v>46246.2979166667</v>
      </c>
      <c r="B6" s="33" t="s">
        <v>240</v>
      </c>
      <c r="C6" s="33" t="s">
        <v>232</v>
      </c>
      <c r="D6" s="33" t="s">
        <v>241</v>
      </c>
      <c r="E6" s="33" t="n">
        <v>6255</v>
      </c>
      <c r="F6" s="33" t="n">
        <v>80</v>
      </c>
      <c r="G6" s="33"/>
      <c r="H6" s="33"/>
      <c r="I6" s="33"/>
    </row>
    <row r="7" customFormat="false" ht="15" hidden="false" customHeight="false" outlineLevel="0" collapsed="false">
      <c r="A7" s="32" t="n">
        <v>46246.3361111111</v>
      </c>
      <c r="B7" s="33" t="s">
        <v>240</v>
      </c>
      <c r="C7" s="33" t="s">
        <v>232</v>
      </c>
      <c r="D7" s="33" t="s">
        <v>242</v>
      </c>
      <c r="E7" s="33" t="n">
        <v>617</v>
      </c>
      <c r="F7" s="33" t="n">
        <v>0</v>
      </c>
      <c r="G7" s="33"/>
      <c r="H7" s="33"/>
      <c r="I7" s="33"/>
    </row>
    <row r="8" customFormat="false" ht="15" hidden="false" customHeight="false" outlineLevel="0" collapsed="false">
      <c r="A8" s="32" t="n">
        <v>46246.8368055556</v>
      </c>
      <c r="B8" s="33" t="s">
        <v>240</v>
      </c>
      <c r="C8" s="33" t="s">
        <v>232</v>
      </c>
      <c r="D8" s="33" t="s">
        <v>243</v>
      </c>
      <c r="E8" s="33" t="n">
        <v>1407</v>
      </c>
      <c r="F8" s="33" t="n">
        <v>0</v>
      </c>
      <c r="G8" s="33"/>
      <c r="H8" s="33"/>
      <c r="I8" s="33"/>
    </row>
    <row r="9" customFormat="false" ht="15" hidden="false" customHeight="false" outlineLevel="0" collapsed="false">
      <c r="A9" s="32" t="n">
        <v>46247.28125</v>
      </c>
      <c r="B9" s="33" t="s">
        <v>234</v>
      </c>
      <c r="C9" s="33" t="s">
        <v>232</v>
      </c>
      <c r="D9" s="33" t="s">
        <v>244</v>
      </c>
      <c r="E9" s="33" t="n">
        <v>8138</v>
      </c>
      <c r="F9" s="33" t="n">
        <v>0</v>
      </c>
      <c r="G9" s="33"/>
      <c r="H9" s="33"/>
      <c r="I9" s="33"/>
    </row>
    <row r="10" customFormat="false" ht="15" hidden="false" customHeight="false" outlineLevel="0" collapsed="false">
      <c r="A10" s="32" t="n">
        <v>46247.25</v>
      </c>
      <c r="B10" s="33" t="s">
        <v>238</v>
      </c>
      <c r="C10" s="33" t="s">
        <v>232</v>
      </c>
      <c r="D10" s="33" t="s">
        <v>245</v>
      </c>
      <c r="E10" s="33" t="n">
        <v>8187</v>
      </c>
      <c r="F10" s="33" t="n">
        <v>0</v>
      </c>
      <c r="G10" s="33"/>
      <c r="H10" s="33"/>
      <c r="I10" s="33"/>
    </row>
    <row r="11" customFormat="false" ht="15" hidden="false" customHeight="false" outlineLevel="0" collapsed="false">
      <c r="A11" s="32" t="n">
        <v>46247.4583333333</v>
      </c>
      <c r="B11" s="33" t="s">
        <v>238</v>
      </c>
      <c r="C11" s="33" t="s">
        <v>232</v>
      </c>
      <c r="D11" s="33" t="s">
        <v>246</v>
      </c>
      <c r="E11" s="33" t="n">
        <v>8190</v>
      </c>
      <c r="F11" s="33" t="n">
        <v>0</v>
      </c>
      <c r="G11" s="33"/>
      <c r="H11" s="33"/>
      <c r="I11" s="33"/>
    </row>
    <row r="12" customFormat="false" ht="15" hidden="false" customHeight="false" outlineLevel="0" collapsed="false">
      <c r="A12" s="32" t="n">
        <v>46247.4722222222</v>
      </c>
      <c r="B12" s="33" t="s">
        <v>234</v>
      </c>
      <c r="C12" s="33" t="s">
        <v>247</v>
      </c>
      <c r="D12" s="33" t="s">
        <v>248</v>
      </c>
      <c r="E12" s="33" t="n">
        <v>541</v>
      </c>
      <c r="F12" s="33" t="n">
        <v>0</v>
      </c>
      <c r="G12" s="33"/>
      <c r="H12" s="33"/>
      <c r="I12" s="33"/>
    </row>
    <row r="13" customFormat="false" ht="15" hidden="false" customHeight="false" outlineLevel="0" collapsed="false">
      <c r="A13" s="32" t="n">
        <v>46247.4722222222</v>
      </c>
      <c r="B13" s="33" t="s">
        <v>234</v>
      </c>
      <c r="C13" s="33" t="s">
        <v>232</v>
      </c>
      <c r="D13" s="33" t="s">
        <v>249</v>
      </c>
      <c r="E13" s="33" t="n">
        <v>541</v>
      </c>
      <c r="F13" s="33" t="n">
        <v>0</v>
      </c>
      <c r="G13" s="33"/>
      <c r="H13" s="33"/>
      <c r="I13" s="33"/>
    </row>
    <row r="14" customFormat="false" ht="15" hidden="false" customHeight="false" outlineLevel="0" collapsed="false">
      <c r="A14" s="32" t="n">
        <v>46247.5347222222</v>
      </c>
      <c r="B14" s="33" t="s">
        <v>234</v>
      </c>
      <c r="C14" s="33" t="s">
        <v>232</v>
      </c>
      <c r="D14" s="33" t="s">
        <v>250</v>
      </c>
      <c r="E14" s="33" t="n">
        <v>8340</v>
      </c>
      <c r="F14" s="33" t="n">
        <v>0</v>
      </c>
      <c r="G14" s="33"/>
      <c r="H14" s="33"/>
      <c r="I14" s="33"/>
    </row>
    <row r="15" customFormat="false" ht="15" hidden="false" customHeight="false" outlineLevel="0" collapsed="false">
      <c r="A15" s="32" t="n">
        <v>46247.5763888889</v>
      </c>
      <c r="B15" s="33" t="s">
        <v>238</v>
      </c>
      <c r="C15" s="33" t="s">
        <v>232</v>
      </c>
      <c r="D15" s="33" t="s">
        <v>251</v>
      </c>
      <c r="E15" s="33" t="n">
        <v>8398</v>
      </c>
      <c r="F15" s="33" t="n">
        <v>0</v>
      </c>
      <c r="G15" s="33"/>
      <c r="H15" s="33"/>
      <c r="I15" s="33"/>
    </row>
    <row r="16" customFormat="false" ht="15" hidden="false" customHeight="false" outlineLevel="0" collapsed="false">
      <c r="A16" s="32" t="n">
        <v>46247.7034722222</v>
      </c>
      <c r="B16" s="33" t="s">
        <v>234</v>
      </c>
      <c r="C16" s="33" t="s">
        <v>232</v>
      </c>
      <c r="D16" s="33" t="s">
        <v>252</v>
      </c>
      <c r="E16" s="33" t="n">
        <v>8317</v>
      </c>
      <c r="F16" s="33" t="n">
        <v>0</v>
      </c>
      <c r="G16" s="33"/>
      <c r="H16" s="33"/>
      <c r="I16" s="33"/>
    </row>
    <row r="17" customFormat="false" ht="15" hidden="false" customHeight="false" outlineLevel="0" collapsed="false">
      <c r="A17" s="32" t="n">
        <v>46246.6458333333</v>
      </c>
      <c r="B17" s="33" t="s">
        <v>253</v>
      </c>
      <c r="C17" s="33" t="s">
        <v>247</v>
      </c>
      <c r="D17" s="33" t="s">
        <v>254</v>
      </c>
      <c r="E17" s="33" t="n">
        <v>8340</v>
      </c>
      <c r="F17" s="33" t="n">
        <v>1268.73</v>
      </c>
      <c r="G17" s="33"/>
      <c r="H17" s="33" t="s">
        <v>255</v>
      </c>
      <c r="I17" s="33"/>
    </row>
    <row r="18" customFormat="false" ht="15" hidden="false" customHeight="false" outlineLevel="0" collapsed="false">
      <c r="A18" s="32" t="n">
        <v>46247.6979166667</v>
      </c>
      <c r="B18" s="33" t="s">
        <v>256</v>
      </c>
      <c r="C18" s="33" t="s">
        <v>232</v>
      </c>
      <c r="D18" s="33" t="s">
        <v>257</v>
      </c>
      <c r="E18" s="33" t="n">
        <v>197</v>
      </c>
      <c r="F18" s="33" t="n">
        <v>0</v>
      </c>
      <c r="G18" s="33"/>
      <c r="H18" s="33"/>
      <c r="I18" s="33"/>
    </row>
    <row r="19" customFormat="false" ht="15" hidden="false" customHeight="false" outlineLevel="0" collapsed="false">
      <c r="A19" s="32" t="n">
        <v>46247.5298611111</v>
      </c>
      <c r="B19" s="33" t="s">
        <v>240</v>
      </c>
      <c r="C19" s="33" t="s">
        <v>232</v>
      </c>
      <c r="D19" s="33" t="s">
        <v>258</v>
      </c>
      <c r="E19" s="33" t="n">
        <v>508</v>
      </c>
      <c r="F19" s="33" t="n">
        <v>69.86</v>
      </c>
      <c r="G19" s="33"/>
      <c r="H19" s="33"/>
      <c r="I19" s="33"/>
    </row>
    <row r="20" customFormat="false" ht="15" hidden="false" customHeight="false" outlineLevel="0" collapsed="false">
      <c r="A20" s="32" t="n">
        <v>46247.875</v>
      </c>
      <c r="B20" s="33" t="s">
        <v>259</v>
      </c>
      <c r="C20" s="33" t="s">
        <v>232</v>
      </c>
      <c r="D20" s="33" t="s">
        <v>260</v>
      </c>
      <c r="E20" s="33" t="n">
        <v>8177</v>
      </c>
      <c r="F20" s="33" t="n">
        <v>0</v>
      </c>
      <c r="G20" s="33"/>
      <c r="H20" s="33"/>
      <c r="I20" s="33"/>
    </row>
    <row r="21" customFormat="false" ht="15" hidden="false" customHeight="false" outlineLevel="0" collapsed="false">
      <c r="A21" s="32" t="n">
        <v>46247.8881944444</v>
      </c>
      <c r="B21" s="33" t="s">
        <v>234</v>
      </c>
      <c r="C21" s="33" t="s">
        <v>232</v>
      </c>
      <c r="D21" s="33" t="s">
        <v>261</v>
      </c>
      <c r="E21" s="33" t="n">
        <v>203</v>
      </c>
      <c r="F21" s="33" t="n">
        <v>0</v>
      </c>
      <c r="G21" s="33"/>
      <c r="H21" s="33"/>
      <c r="I21" s="33"/>
    </row>
    <row r="22" customFormat="false" ht="15" hidden="false" customHeight="false" outlineLevel="0" collapsed="false">
      <c r="A22" s="32" t="n">
        <v>46247.9270833333</v>
      </c>
      <c r="B22" s="33" t="s">
        <v>262</v>
      </c>
      <c r="C22" s="33" t="s">
        <v>247</v>
      </c>
      <c r="D22" s="33" t="s">
        <v>263</v>
      </c>
      <c r="E22" s="33" t="n">
        <v>2546</v>
      </c>
      <c r="F22" s="33" t="n">
        <v>0</v>
      </c>
      <c r="G22" s="33"/>
      <c r="H22" s="33"/>
      <c r="I22" s="33"/>
    </row>
    <row r="23" customFormat="false" ht="15" hidden="false" customHeight="false" outlineLevel="0" collapsed="false">
      <c r="A23" s="32" t="n">
        <v>46247.9270833333</v>
      </c>
      <c r="B23" s="33" t="s">
        <v>234</v>
      </c>
      <c r="C23" s="33" t="s">
        <v>232</v>
      </c>
      <c r="D23" s="33" t="s">
        <v>264</v>
      </c>
      <c r="E23" s="33" t="n">
        <v>2546</v>
      </c>
      <c r="F23" s="33" t="n">
        <v>0</v>
      </c>
      <c r="G23" s="33"/>
      <c r="H23" s="33"/>
      <c r="I23" s="33"/>
    </row>
    <row r="24" customFormat="false" ht="15" hidden="false" customHeight="false" outlineLevel="0" collapsed="false">
      <c r="A24" s="32" t="n">
        <v>46248.3069444444</v>
      </c>
      <c r="B24" s="33" t="s">
        <v>238</v>
      </c>
      <c r="C24" s="33" t="s">
        <v>232</v>
      </c>
      <c r="D24" s="33" t="s">
        <v>265</v>
      </c>
      <c r="E24" s="33" t="n">
        <v>1097</v>
      </c>
      <c r="F24" s="33" t="n">
        <v>0</v>
      </c>
      <c r="G24" s="33"/>
      <c r="H24" s="33"/>
      <c r="I24" s="33"/>
    </row>
    <row r="25" customFormat="false" ht="15" hidden="false" customHeight="false" outlineLevel="0" collapsed="false">
      <c r="A25" s="32" t="n">
        <v>46248.3784722222</v>
      </c>
      <c r="B25" s="33" t="s">
        <v>238</v>
      </c>
      <c r="C25" s="33" t="s">
        <v>232</v>
      </c>
      <c r="D25" s="33" t="s">
        <v>266</v>
      </c>
      <c r="E25" s="33" t="n">
        <v>8294</v>
      </c>
      <c r="F25" s="33" t="n">
        <v>0</v>
      </c>
      <c r="G25" s="33"/>
      <c r="H25" s="33"/>
      <c r="I25" s="33"/>
    </row>
    <row r="26" customFormat="false" ht="15" hidden="false" customHeight="false" outlineLevel="0" collapsed="false">
      <c r="A26" s="32" t="n">
        <v>46248.4277777778</v>
      </c>
      <c r="B26" s="33" t="s">
        <v>240</v>
      </c>
      <c r="C26" s="33" t="s">
        <v>232</v>
      </c>
      <c r="D26" s="33" t="s">
        <v>267</v>
      </c>
      <c r="E26" s="33" t="n">
        <v>699</v>
      </c>
      <c r="F26" s="33" t="n">
        <v>122.09</v>
      </c>
      <c r="G26" s="33"/>
      <c r="H26" s="33"/>
      <c r="I26" s="33"/>
    </row>
    <row r="27" customFormat="false" ht="15" hidden="false" customHeight="false" outlineLevel="0" collapsed="false">
      <c r="A27" s="32" t="n">
        <v>46248.5138888889</v>
      </c>
      <c r="B27" s="33" t="s">
        <v>234</v>
      </c>
      <c r="C27" s="33" t="s">
        <v>232</v>
      </c>
      <c r="D27" s="33" t="s">
        <v>268</v>
      </c>
      <c r="E27" s="33" t="n">
        <v>1493</v>
      </c>
      <c r="F27" s="33" t="n">
        <v>0</v>
      </c>
      <c r="G27" s="33"/>
      <c r="H27" s="33"/>
      <c r="I27" s="33"/>
    </row>
    <row r="28" customFormat="false" ht="15" hidden="false" customHeight="false" outlineLevel="0" collapsed="false">
      <c r="A28" s="32" t="n">
        <v>46248.5</v>
      </c>
      <c r="B28" s="33" t="s">
        <v>234</v>
      </c>
      <c r="C28" s="33" t="s">
        <v>232</v>
      </c>
      <c r="D28" s="33" t="s">
        <v>269</v>
      </c>
      <c r="E28" s="33" t="n">
        <v>8398</v>
      </c>
      <c r="F28" s="33" t="n">
        <v>0</v>
      </c>
      <c r="G28" s="33"/>
      <c r="H28" s="33"/>
      <c r="I28" s="33"/>
    </row>
    <row r="29" customFormat="false" ht="15" hidden="false" customHeight="false" outlineLevel="0" collapsed="false">
      <c r="A29" s="32" t="n">
        <v>46248.3958333333</v>
      </c>
      <c r="B29" s="33" t="s">
        <v>234</v>
      </c>
      <c r="C29" s="33" t="s">
        <v>232</v>
      </c>
      <c r="D29" s="33" t="s">
        <v>270</v>
      </c>
      <c r="E29" s="33" t="n">
        <v>8417</v>
      </c>
      <c r="F29" s="33" t="n">
        <v>0</v>
      </c>
      <c r="G29" s="33"/>
      <c r="H29" s="33"/>
      <c r="I29" s="33"/>
    </row>
    <row r="30" customFormat="false" ht="15" hidden="false" customHeight="false" outlineLevel="0" collapsed="false">
      <c r="A30" s="32" t="n">
        <v>46246.6902777778</v>
      </c>
      <c r="B30" s="33" t="s">
        <v>240</v>
      </c>
      <c r="C30" s="33" t="s">
        <v>232</v>
      </c>
      <c r="D30" s="33" t="s">
        <v>271</v>
      </c>
      <c r="E30" s="33" t="n">
        <v>512</v>
      </c>
      <c r="F30" s="33" t="n">
        <v>97.78</v>
      </c>
      <c r="G30" s="33"/>
      <c r="H30" s="33"/>
      <c r="I30" s="33"/>
    </row>
    <row r="31" customFormat="false" ht="15" hidden="false" customHeight="false" outlineLevel="0" collapsed="false">
      <c r="A31" s="32" t="n">
        <v>46248.5597222222</v>
      </c>
      <c r="B31" s="33" t="s">
        <v>240</v>
      </c>
      <c r="C31" s="33" t="s">
        <v>247</v>
      </c>
      <c r="D31" s="33" t="s">
        <v>272</v>
      </c>
      <c r="E31" s="33" t="n">
        <v>2310</v>
      </c>
      <c r="F31" s="33" t="n">
        <v>246.87</v>
      </c>
      <c r="G31" s="33"/>
      <c r="H31" s="33"/>
      <c r="I31" s="33"/>
    </row>
    <row r="32" customFormat="false" ht="15" hidden="false" customHeight="false" outlineLevel="0" collapsed="false">
      <c r="A32" s="32" t="n">
        <v>46248.5555555556</v>
      </c>
      <c r="B32" s="33" t="s">
        <v>253</v>
      </c>
      <c r="C32" s="33" t="s">
        <v>273</v>
      </c>
      <c r="D32" s="33" t="s">
        <v>274</v>
      </c>
      <c r="E32" s="33" t="n">
        <v>8306</v>
      </c>
      <c r="F32" s="33" t="n">
        <v>7.97</v>
      </c>
      <c r="G32" s="33"/>
      <c r="H32" s="33" t="s">
        <v>275</v>
      </c>
      <c r="I32" s="33"/>
    </row>
    <row r="33" customFormat="false" ht="15" hidden="false" customHeight="false" outlineLevel="0" collapsed="false">
      <c r="A33" s="32" t="n">
        <v>46247.5208333333</v>
      </c>
      <c r="B33" s="33" t="s">
        <v>238</v>
      </c>
      <c r="C33" s="33" t="s">
        <v>232</v>
      </c>
      <c r="D33" s="33" t="s">
        <v>276</v>
      </c>
      <c r="E33" s="33" t="n">
        <v>8220</v>
      </c>
      <c r="F33" s="33" t="n">
        <v>0</v>
      </c>
      <c r="G33" s="33"/>
      <c r="H33" s="33"/>
      <c r="I33" s="33"/>
    </row>
    <row r="34" customFormat="false" ht="15" hidden="false" customHeight="false" outlineLevel="0" collapsed="false">
      <c r="A34" s="32" t="n">
        <v>46248.5833333333</v>
      </c>
      <c r="B34" s="33" t="s">
        <v>277</v>
      </c>
      <c r="C34" s="33" t="s">
        <v>232</v>
      </c>
      <c r="D34" s="33" t="s">
        <v>278</v>
      </c>
      <c r="E34" s="33" t="n">
        <v>8453</v>
      </c>
      <c r="F34" s="33" t="n">
        <v>0</v>
      </c>
      <c r="G34" s="33"/>
      <c r="H34" s="33"/>
      <c r="I34" s="33"/>
    </row>
    <row r="35" customFormat="false" ht="15" hidden="false" customHeight="false" outlineLevel="0" collapsed="false">
      <c r="A35" s="32" t="n">
        <v>46248.6020833333</v>
      </c>
      <c r="B35" s="33" t="s">
        <v>234</v>
      </c>
      <c r="C35" s="33" t="s">
        <v>232</v>
      </c>
      <c r="D35" s="33" t="s">
        <v>279</v>
      </c>
      <c r="E35" s="33" t="n">
        <v>1347</v>
      </c>
      <c r="F35" s="33" t="n">
        <v>0</v>
      </c>
      <c r="G35" s="33"/>
      <c r="H35" s="33"/>
      <c r="I35" s="3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2026-08-18T05:42:29Z</dcterms:created>
  <dc:creator>openpyxl</dc:creator>
  <dc:description/>
  <dc:language>en-US</dc:language>
  <cp:lastModifiedBy/>
  <dcterms:modified xsi:type="dcterms:W3CDTF">2026-08-18T05:42:29Z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