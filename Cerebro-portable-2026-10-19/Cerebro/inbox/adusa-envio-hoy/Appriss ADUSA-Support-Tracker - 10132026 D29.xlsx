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pport tracker"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d/yy"/>
  </numFmts>
  <fonts count="14">
    <font>
      <name val="Calibri"/>
      <charset val="1"/>
      <family val="2"/>
      <color theme="1"/>
      <sz val="11"/>
    </font>
    <font>
      <name val="Arial"/>
      <family val="0"/>
      <sz val="10"/>
    </font>
    <font>
      <name val="Arial"/>
      <family val="0"/>
      <sz val="10"/>
    </font>
    <font>
      <name val="Arial"/>
      <family val="0"/>
      <sz val="10"/>
    </font>
    <font>
      <name val="Poppins"/>
      <charset val="1"/>
      <family val="0"/>
      <color rgb="FF1E1531"/>
      <sz val="18"/>
    </font>
    <font>
      <name val="Poppins"/>
      <charset val="1"/>
      <family val="0"/>
      <color rgb="FFA5ABB3"/>
      <sz val="9"/>
    </font>
    <font>
      <name val="Poppins"/>
      <charset val="1"/>
      <family val="0"/>
      <color rgb="FF6D7580"/>
      <sz val="9"/>
    </font>
    <font>
      <name val="Poppins"/>
      <charset val="1"/>
      <family val="0"/>
      <color rgb="FF1E1531"/>
      <sz val="12"/>
    </font>
    <font>
      <name val="Poppins"/>
      <charset val="1"/>
      <family val="0"/>
      <b val="1"/>
      <color rgb="FFFFFFFF"/>
      <sz val="9.5"/>
    </font>
    <font>
      <name val="Poppins"/>
      <charset val="1"/>
      <family val="0"/>
      <color rgb="FF1E1531"/>
      <sz val="10"/>
    </font>
    <font>
      <name val="Poppins"/>
      <charset val="1"/>
      <family val="0"/>
      <b val="1"/>
      <color rgb="FFFFFFFF"/>
      <sz val="10"/>
    </font>
    <font>
      <name val="Poppins"/>
      <charset val="1"/>
      <family val="0"/>
      <b val="1"/>
      <color rgb="FF1E1531"/>
      <sz val="11"/>
    </font>
    <font>
      <name val="Poppins"/>
      <charset val="1"/>
      <family val="0"/>
      <b val="1"/>
      <color rgb="FF007971"/>
      <sz val="10"/>
    </font>
    <font>
      <name val="Poppins"/>
      <charset val="1"/>
      <family val="0"/>
      <b val="1"/>
      <color rgb="FF1E1531"/>
      <sz val="9.5"/>
    </font>
  </fonts>
  <fills count="27">
    <fill>
      <patternFill/>
    </fill>
    <fill>
      <patternFill patternType="gray125"/>
    </fill>
    <fill>
      <patternFill patternType="solid">
        <fgColor rgb="FF1E1531"/>
        <bgColor rgb="FF000000"/>
      </patternFill>
    </fill>
    <fill>
      <patternFill patternType="solid">
        <fgColor rgb="FFFFFFFF"/>
        <bgColor rgb="FFF4F6F9"/>
      </patternFill>
    </fill>
    <fill>
      <patternFill patternType="solid">
        <fgColor rgb="FFDBE5FD"/>
        <bgColor rgb="FFE8EAEE"/>
      </patternFill>
    </fill>
    <fill>
      <patternFill patternType="solid">
        <fgColor rgb="FF7DE2DD"/>
        <bgColor rgb="FF33CCCC"/>
      </patternFill>
    </fill>
    <fill>
      <patternFill patternType="solid">
        <fgColor rgb="FFF4F6F9"/>
        <bgColor rgb="FFFFFFFF"/>
      </patternFill>
    </fill>
    <fill>
      <patternFill patternType="solid">
        <fgColor rgb="FF7C6BE8"/>
        <bgColor rgb="FF6D7580"/>
      </patternFill>
    </fill>
    <fill>
      <patternFill patternType="solid">
        <fgColor rgb="FFFBC521"/>
        <bgColor rgb="FFFF9900"/>
      </patternFill>
    </fill>
    <fill>
      <patternFill patternType="solid">
        <fgColor rgb="FF7C6BE8"/>
        <bgColor rgb="FF7C6BE8"/>
      </patternFill>
    </fill>
    <fill>
      <patternFill patternType="solid">
        <fgColor rgb="FF528DF5"/>
        <bgColor rgb="FF528DF5"/>
      </patternFill>
    </fill>
    <fill>
      <patternFill patternType="solid">
        <fgColor rgb="FFFBC521"/>
        <bgColor rgb="FFFBC521"/>
      </patternFill>
    </fill>
    <fill>
      <patternFill patternType="solid">
        <fgColor rgb="FF528DF5"/>
        <bgColor rgb="FFFF9900"/>
      </patternFill>
    </fill>
    <fill>
      <patternFill patternType="solid">
        <fgColor rgb="FF7DE2DD"/>
        <bgColor rgb="FF7C6BE8"/>
      </patternFill>
    </fill>
    <fill>
      <patternFill patternType="solid">
        <fgColor rgb="FF7C6BE8"/>
        <bgColor rgb="FF528DF5"/>
      </patternFill>
    </fill>
    <fill>
      <patternFill patternType="solid">
        <fgColor rgb="FF7C6BE8"/>
        <bgColor rgb="FFFF9900"/>
      </patternFill>
    </fill>
    <fill>
      <patternFill patternType="solid">
        <fgColor rgb="FF528DF5"/>
        <bgColor rgb="FFFBC521"/>
      </patternFill>
    </fill>
    <fill>
      <patternFill patternType="solid">
        <fgColor rgb="FFFBC521"/>
        <bgColor rgb="FF6D7580"/>
      </patternFill>
    </fill>
    <fill>
      <patternFill patternType="solid">
        <fgColor rgb="FF7DE2DD"/>
        <bgColor rgb="FFFF9900"/>
      </patternFill>
    </fill>
    <fill>
      <patternFill patternType="solid">
        <fgColor rgb="FF7DE2DD"/>
        <bgColor rgb="FF528DF5"/>
      </patternFill>
    </fill>
    <fill>
      <patternFill patternType="solid">
        <fgColor rgb="FF7DE2DD"/>
        <bgColor rgb="FFFBC521"/>
      </patternFill>
    </fill>
    <fill>
      <patternFill patternType="solid">
        <fgColor rgb="FFFFFFFF"/>
      </patternFill>
    </fill>
    <fill>
      <patternFill patternType="solid">
        <fgColor rgb="FFFBC521"/>
      </patternFill>
    </fill>
    <fill>
      <patternFill patternType="solid">
        <fgColor rgb="FFF4F6F9"/>
      </patternFill>
    </fill>
    <fill>
      <patternFill patternType="solid">
        <fgColor rgb="FF528DF5"/>
      </patternFill>
    </fill>
    <fill>
      <patternFill patternType="solid">
        <fgColor rgb="FF7C6BE8"/>
      </patternFill>
    </fill>
    <fill>
      <patternFill patternType="solid">
        <fgColor rgb="FF7DE2DD"/>
      </patternFill>
    </fill>
  </fills>
  <borders count="2">
    <border>
      <left/>
      <right/>
      <top/>
      <bottom/>
      <diagonal/>
    </border>
    <border>
      <left/>
      <right/>
      <top/>
      <bottom style="thin">
        <color rgb="FFE8EA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13" fillId="9" borderId="1" applyAlignment="1" pivotButton="0" quotePrefix="0" xfId="0">
      <alignment horizontal="left" vertical="top" wrapText="1"/>
    </xf>
    <xf numFmtId="0" fontId="13" fillId="10" borderId="1" applyAlignment="1" pivotButton="0" quotePrefix="0" xfId="0">
      <alignment horizontal="left" vertical="top" wrapText="1"/>
    </xf>
    <xf numFmtId="0" fontId="13" fillId="11" borderId="1" applyAlignment="1" pivotButton="0" quotePrefix="0" xfId="0">
      <alignment horizontal="left" vertical="top" wrapText="1"/>
    </xf>
    <xf numFmtId="0" fontId="13" fillId="12" borderId="1" applyAlignment="1" pivotButton="0" quotePrefix="0" xfId="0">
      <alignment horizontal="left" vertical="top" wrapText="1"/>
    </xf>
    <xf numFmtId="0" fontId="13" fillId="13" borderId="1" applyAlignment="1" pivotButton="0" quotePrefix="0" xfId="0">
      <alignment horizontal="left" vertical="top" wrapText="1"/>
    </xf>
    <xf numFmtId="0" fontId="13" fillId="14" borderId="1" applyAlignment="1" pivotButton="0" quotePrefix="0" xfId="0">
      <alignment horizontal="left" vertical="top" wrapText="1"/>
    </xf>
    <xf numFmtId="0" fontId="13" fillId="15" borderId="1" applyAlignment="1" pivotButton="0" quotePrefix="0" xfId="0">
      <alignment horizontal="left" vertical="top" wrapText="1"/>
    </xf>
    <xf numFmtId="0" fontId="13" fillId="16" borderId="1" applyAlignment="1" pivotButton="0" quotePrefix="0" xfId="0">
      <alignment horizontal="left" vertical="top" wrapText="1"/>
    </xf>
    <xf numFmtId="0" fontId="13" fillId="17" borderId="1" applyAlignment="1" pivotButton="0" quotePrefix="0" xfId="0">
      <alignment horizontal="left" vertical="top" wrapText="1"/>
    </xf>
    <xf numFmtId="0" fontId="13" fillId="18" borderId="1" applyAlignment="1" pivotButton="0" quotePrefix="0" xfId="0">
      <alignment horizontal="left" vertical="top" wrapText="1"/>
    </xf>
    <xf numFmtId="0" fontId="13" fillId="19" borderId="1" applyAlignment="1" pivotButton="0" quotePrefix="0" xfId="0">
      <alignment horizontal="left" vertical="top" wrapText="1"/>
    </xf>
    <xf numFmtId="0" fontId="13" fillId="20" borderId="1" applyAlignment="1" pivotButton="0" quotePrefix="0" xfId="0">
      <alignment horizontal="left" vertical="top" wrapText="1"/>
    </xf>
    <xf numFmtId="0" fontId="12" fillId="21" borderId="1" applyAlignment="1" pivotButton="0" quotePrefix="0" xfId="0">
      <alignment horizontal="left" vertical="top" wrapText="1"/>
    </xf>
    <xf numFmtId="0" fontId="9" fillId="21" borderId="1" applyAlignment="1" pivotButton="0" quotePrefix="0" xfId="0">
      <alignment horizontal="left" vertical="top" wrapText="1"/>
    </xf>
    <xf numFmtId="0" fontId="13" fillId="22" borderId="1" applyAlignment="1" pivotButton="0" quotePrefix="0" xfId="0">
      <alignment horizontal="left" vertical="top" wrapText="1"/>
    </xf>
    <xf numFmtId="164" fontId="9" fillId="21" borderId="1" applyAlignment="1" pivotButton="0" quotePrefix="0" xfId="0">
      <alignment horizontal="center" vertical="top"/>
    </xf>
    <xf numFmtId="0" fontId="12" fillId="23" borderId="1" applyAlignment="1" pivotButton="0" quotePrefix="0" xfId="0">
      <alignment horizontal="left" vertical="top" wrapText="1"/>
    </xf>
    <xf numFmtId="0" fontId="9" fillId="23" borderId="1" applyAlignment="1" pivotButton="0" quotePrefix="0" xfId="0">
      <alignment horizontal="left" vertical="top" wrapText="1"/>
    </xf>
    <xf numFmtId="164" fontId="9" fillId="23" borderId="1" applyAlignment="1" pivotButton="0" quotePrefix="0" xfId="0">
      <alignment horizontal="center" vertical="top"/>
    </xf>
    <xf numFmtId="0" fontId="13" fillId="24" borderId="1" applyAlignment="1" pivotButton="0" quotePrefix="0" xfId="0">
      <alignment horizontal="left" vertical="top" wrapText="1"/>
    </xf>
    <xf numFmtId="0" fontId="13" fillId="25" borderId="1" applyAlignment="1" pivotButton="0" quotePrefix="0" xfId="0">
      <alignment horizontal="left" vertical="top" wrapText="1"/>
    </xf>
    <xf numFmtId="0" fontId="13" fillId="26"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971"/>
      <rgbColor rgb="FFC0C0C0"/>
      <rgbColor rgb="FF6D7580"/>
      <rgbColor rgb="FF9999FF"/>
      <rgbColor rgb="FF993366"/>
      <rgbColor rgb="FFF4F6F9"/>
      <rgbColor rgb="FFE8EAEE"/>
      <rgbColor rgb="FF660066"/>
      <rgbColor rgb="FFFF8080"/>
      <rgbColor rgb="FF0066CC"/>
      <rgbColor rgb="FFDBE5FD"/>
      <rgbColor rgb="FF000080"/>
      <rgbColor rgb="FFFF00FF"/>
      <rgbColor rgb="FFFFFF00"/>
      <rgbColor rgb="FF00FFFF"/>
      <rgbColor rgb="FF800080"/>
      <rgbColor rgb="FF800000"/>
      <rgbColor rgb="FF008080"/>
      <rgbColor rgb="FF0000FF"/>
      <rgbColor rgb="FF00CCFF"/>
      <rgbColor rgb="FFCCFFFF"/>
      <rgbColor rgb="FFCCFFCC"/>
      <rgbColor rgb="FFFFFF99"/>
      <rgbColor rgb="FF7DE2DD"/>
      <rgbColor rgb="FFFF99CC"/>
      <rgbColor rgb="FFCC99FF"/>
      <rgbColor rgb="FFFFCC99"/>
      <rgbColor rgb="FF3366FF"/>
      <rgbColor rgb="FF33CCCC"/>
      <rgbColor rgb="FF99CC00"/>
      <rgbColor rgb="FFFBC521"/>
      <rgbColor rgb="FFFF9900"/>
      <rgbColor rgb="FFFF6600"/>
      <rgbColor rgb="FF7C6BE8"/>
      <rgbColor rgb="FFA5ABB3"/>
      <rgbColor rgb="FF003366"/>
      <rgbColor rgb="FF339966"/>
      <rgbColor rgb="FF003300"/>
      <rgbColor rgb="FF333300"/>
      <rgbColor rgb="FF993300"/>
      <rgbColor rgb="FF993366"/>
      <rgbColor rgb="FF333399"/>
      <rgbColor rgb="FF1E153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111"/>
  <sheetViews>
    <sheetView showFormulas="0" showGridLines="0" showRowColHeaders="1" showZeros="1" rightToLeft="0" tabSelected="1" showOutlineSymbols="1" defaultGridColor="1" view="normal" topLeftCell="A23"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 customWidth="1" style="23" min="1" max="1"/>
    <col width="28" customWidth="1" style="23" min="2" max="2"/>
    <col width="19" customWidth="1" style="23" min="3" max="3"/>
    <col width="18" customWidth="1" style="23" min="4" max="4"/>
    <col width="14" customWidth="1" style="23" min="5" max="5"/>
    <col width="10" customWidth="1" style="23" min="6" max="6"/>
    <col width="13" customWidth="1" style="23" min="7" max="7"/>
    <col width="45" customWidth="1" style="23" min="8" max="8"/>
    <col width="47" customWidth="1" style="23" min="9" max="9"/>
    <col width="29" customWidth="1" style="23" min="10" max="10"/>
  </cols>
  <sheetData>
    <row r="1" ht="31.5" customHeight="1" s="24">
      <c r="A1" s="25" t="inlineStr">
        <is>
          <t>Ahold Delhaize USA / ADUSA support tracker</t>
        </is>
      </c>
    </row>
    <row r="2" ht="15.75" customHeight="1" s="24">
      <c r="A2" s="26" t="inlineStr">
        <is>
          <t>Status as of Tuesday, October 13, 2026. Ticket states verified directly against Jira.</t>
        </is>
      </c>
    </row>
    <row r="3" ht="15.75" customHeight="1" s="24">
      <c r="A3" s="27" t="inlineStr">
        <is>
          <t>Cadence: weekly tracker email until the open issues are resolved, plus checkpoint calls Tuesdays 2:30 PM ET and Thursdays 3:30 PM ET.</t>
        </is>
      </c>
    </row>
    <row r="4"/>
    <row r="5" ht="24" customHeight="1" s="24">
      <c r="A5" s="28" t="inlineStr">
        <is>
          <t>Summary by issue theme</t>
        </is>
      </c>
    </row>
    <row r="6" ht="33.75" customHeight="1" s="24">
      <c r="A6" s="29" t="inlineStr">
        <is>
          <t>Issue theme</t>
        </is>
      </c>
      <c r="C6" s="29" t="inlineStr">
        <is>
          <t>Tickets</t>
        </is>
      </c>
      <c r="D6" s="29" t="inlineStr">
        <is>
          <t>Resolved</t>
        </is>
      </c>
      <c r="E6" s="29" t="inlineStr">
        <is>
          <t>Pending Ahold verification</t>
        </is>
      </c>
      <c r="F6" s="29" t="inlineStr">
        <is>
          <t>Awaiting Ahold input</t>
        </is>
      </c>
      <c r="G6" s="29" t="inlineStr">
        <is>
          <t>Active with Appriss</t>
        </is>
      </c>
    </row>
    <row r="7" ht="18" customHeight="1" s="24">
      <c r="A7" s="30" t="inlineStr">
        <is>
          <t>Login and access</t>
        </is>
      </c>
      <c r="C7" s="31">
        <f>D7+E7+F7+G7</f>
        <v/>
      </c>
      <c r="D7" s="31" t="n">
        <v>4</v>
      </c>
      <c r="E7" s="31" t="n">
        <v>0</v>
      </c>
      <c r="F7" s="31" t="n">
        <v>0</v>
      </c>
      <c r="G7" s="31" t="n">
        <v>3</v>
      </c>
    </row>
    <row r="8" ht="18" customHeight="1" s="24">
      <c r="A8" s="30" t="inlineStr">
        <is>
          <t>User accounts and duplicates</t>
        </is>
      </c>
      <c r="C8" s="31">
        <f>D8+E8+F8+G8</f>
        <v/>
      </c>
      <c r="D8" s="31" t="n">
        <v>6</v>
      </c>
      <c r="E8" s="31" t="n">
        <v>0</v>
      </c>
      <c r="F8" s="31" t="n">
        <v>0</v>
      </c>
      <c r="G8" s="31" t="n">
        <v>0</v>
      </c>
    </row>
    <row r="9" ht="18" customHeight="1" s="24">
      <c r="A9" s="30" t="inlineStr">
        <is>
          <t>Store and brand restrictions</t>
        </is>
      </c>
      <c r="C9" s="31">
        <f>D9+E9+F9+G9</f>
        <v/>
      </c>
      <c r="D9" s="31" t="n">
        <v>8</v>
      </c>
      <c r="E9" s="31" t="n">
        <v>0</v>
      </c>
      <c r="F9" s="31" t="n">
        <v>0</v>
      </c>
      <c r="G9" s="31" t="n">
        <v>1</v>
      </c>
    </row>
    <row r="10" ht="18" customHeight="1" s="24">
      <c r="A10" s="30" t="inlineStr">
        <is>
          <t>Case entry and assignment</t>
        </is>
      </c>
      <c r="C10" s="31">
        <f>D10+E10+F10+G10</f>
        <v/>
      </c>
      <c r="D10" s="31" t="n">
        <v>11</v>
      </c>
      <c r="E10" s="31" t="n">
        <v>0</v>
      </c>
      <c r="F10" s="31" t="n">
        <v>2</v>
      </c>
      <c r="G10" s="31" t="n">
        <v>4</v>
      </c>
    </row>
    <row r="11" ht="18" customHeight="1" s="24">
      <c r="A11" s="30" t="inlineStr">
        <is>
          <t>Attachments and file handling</t>
        </is>
      </c>
      <c r="C11" s="31">
        <f>D11+E11+F11+G11</f>
        <v/>
      </c>
      <c r="D11" s="31" t="n">
        <v>5</v>
      </c>
      <c r="E11" s="31" t="n">
        <v>0</v>
      </c>
      <c r="F11" s="31" t="n">
        <v>0</v>
      </c>
      <c r="G11" s="31" t="n">
        <v>0</v>
      </c>
    </row>
    <row r="12" ht="18" customHeight="1" s="24">
      <c r="A12" s="30" t="inlineStr">
        <is>
          <t>Reporting and exports</t>
        </is>
      </c>
      <c r="C12" s="31">
        <f>D12+E12+F12+G12</f>
        <v/>
      </c>
      <c r="D12" s="31" t="n">
        <v>7</v>
      </c>
      <c r="E12" s="31" t="n">
        <v>0</v>
      </c>
      <c r="F12" s="31" t="n">
        <v>0</v>
      </c>
      <c r="G12" s="31" t="n">
        <v>2</v>
      </c>
    </row>
    <row r="13" ht="18" customHeight="1" s="24">
      <c r="A13" s="30" t="inlineStr">
        <is>
          <t>Performance and timeouts</t>
        </is>
      </c>
      <c r="C13" s="31">
        <f>D13+E13+F13+G13</f>
        <v/>
      </c>
      <c r="D13" s="31" t="n">
        <v>5</v>
      </c>
      <c r="E13" s="31" t="n">
        <v>0</v>
      </c>
      <c r="F13" s="31" t="n">
        <v>0</v>
      </c>
      <c r="G13" s="31" t="n">
        <v>0</v>
      </c>
    </row>
    <row r="14" ht="18" customHeight="1" s="24">
      <c r="A14" s="30" t="inlineStr">
        <is>
          <t>Platform configuration and notifications</t>
        </is>
      </c>
      <c r="C14" s="31">
        <f>D14+E14+F14+G14</f>
        <v/>
      </c>
      <c r="D14" s="31" t="n">
        <v>4</v>
      </c>
      <c r="E14" s="31" t="n">
        <v>0</v>
      </c>
      <c r="F14" s="31" t="n">
        <v>0</v>
      </c>
      <c r="G14" s="31" t="n">
        <v>1</v>
      </c>
    </row>
    <row r="15" ht="18" customHeight="1" s="24">
      <c r="A15" s="30" t="inlineStr">
        <is>
          <t>Store file and location data</t>
        </is>
      </c>
      <c r="C15" s="31">
        <f>D15+E15+F15+G15</f>
        <v/>
      </c>
      <c r="D15" s="31" t="n">
        <v>4</v>
      </c>
      <c r="E15" s="31" t="n">
        <v>0</v>
      </c>
      <c r="F15" s="31" t="n">
        <v>0</v>
      </c>
      <c r="G15" s="31" t="n">
        <v>0</v>
      </c>
    </row>
    <row r="16" ht="18" customHeight="1" s="24">
      <c r="A16" s="30" t="inlineStr">
        <is>
          <t>Transaction, tender and POS data</t>
        </is>
      </c>
      <c r="C16" s="31">
        <f>D16+E16+F16+G16</f>
        <v/>
      </c>
      <c r="D16" s="31" t="n">
        <v>4</v>
      </c>
      <c r="E16" s="31" t="n">
        <v>0</v>
      </c>
      <c r="F16" s="31" t="n">
        <v>3</v>
      </c>
      <c r="G16" s="31" t="n">
        <v>3</v>
      </c>
    </row>
    <row r="17" ht="18" customHeight="1" s="24">
      <c r="A17" s="30" t="inlineStr">
        <is>
          <t>Change requests and scoping</t>
        </is>
      </c>
      <c r="C17" s="31">
        <f>D17+E17+F17+G17</f>
        <v/>
      </c>
      <c r="D17" s="31" t="n">
        <v>1</v>
      </c>
      <c r="E17" s="31" t="n">
        <v>0</v>
      </c>
      <c r="F17" s="31" t="n">
        <v>0</v>
      </c>
      <c r="G17" s="31" t="n">
        <v>0</v>
      </c>
    </row>
    <row r="18" ht="19.5" customHeight="1" s="24">
      <c r="A18" s="32" t="inlineStr">
        <is>
          <t>Total</t>
        </is>
      </c>
      <c r="C18" s="33">
        <f>SUM(C7:C17)</f>
        <v/>
      </c>
      <c r="D18" s="33">
        <f>SUM(D7:D17)</f>
        <v/>
      </c>
      <c r="E18" s="33">
        <f>SUM(E7:E17)</f>
        <v/>
      </c>
      <c r="F18" s="33">
        <f>SUM(F7:F17)</f>
        <v/>
      </c>
      <c r="G18" s="33">
        <f>SUM(G7:G17)</f>
        <v/>
      </c>
    </row>
    <row r="19" ht="27.75" customHeight="1" s="24">
      <c r="A19" s="27" t="inlineStr">
        <is>
          <t>"Pending Ahold verification" = a fix has been delivered and is waiting on Ahold to test and confirm.  "Awaiting Ahold input" = Appriss needs information or an action from Ahold before work can continue.  The "Action with" column in the detail table below is color-coded to match.</t>
        </is>
      </c>
    </row>
    <row r="20"/>
    <row r="21" ht="24" customHeight="1" s="24">
      <c r="A21" s="28" t="inlineStr">
        <is>
          <t>Ticket detail</t>
        </is>
      </c>
    </row>
    <row r="22" ht="21.75" customHeight="1" s="24">
      <c r="A22" s="34" t="inlineStr">
        <is>
          <t>Ticket</t>
        </is>
      </c>
      <c r="B22" s="34" t="inlineStr">
        <is>
          <t>Summary</t>
        </is>
      </c>
      <c r="C22" s="34" t="inlineStr">
        <is>
          <t>Status</t>
        </is>
      </c>
      <c r="D22" s="34" t="inlineStr">
        <is>
          <t>Action with</t>
        </is>
      </c>
      <c r="E22" s="34" t="inlineStr">
        <is>
          <t>Assignee</t>
        </is>
      </c>
      <c r="F22" s="34" t="inlineStr">
        <is>
          <t>Created</t>
        </is>
      </c>
      <c r="G22" s="34" t="inlineStr">
        <is>
          <t>Last Updated</t>
        </is>
      </c>
      <c r="H22" s="34" t="inlineStr">
        <is>
          <t>Issue summary</t>
        </is>
      </c>
      <c r="I22" s="34" t="inlineStr">
        <is>
          <t>Next steps</t>
        </is>
      </c>
      <c r="J22" s="34" t="inlineStr">
        <is>
          <t>ADUSA Comments</t>
        </is>
      </c>
    </row>
    <row r="23" ht="21.75" customHeight="1" s="24">
      <c r="A23" s="35" t="inlineStr">
        <is>
          <t>Login and access</t>
        </is>
      </c>
    </row>
    <row r="24" ht="57.75" customHeight="1" s="24">
      <c r="A24" s="36" t="inlineStr">
        <is>
          <t>RCS-28014</t>
        </is>
      </c>
      <c r="B24" s="37" t="inlineStr">
        <is>
          <t>New Appriss URL is asking for email address</t>
        </is>
      </c>
      <c r="C24" s="37" t="inlineStr">
        <is>
          <t>Closed</t>
        </is>
      </c>
      <c r="D24" s="38" t="inlineStr">
        <is>
          <t>Resolved</t>
        </is>
      </c>
      <c r="E24" s="37" t="inlineStr">
        <is>
          <t>Viraj Kansara</t>
        </is>
      </c>
      <c r="F24" s="39" t="n">
        <v>46232</v>
      </c>
      <c r="G24" s="39" t="n">
        <v>46266</v>
      </c>
      <c r="H24" s="37" t="inlineStr">
        <is>
          <t>After the cutover the new URL prompted for a password instead of passing users through single sign-on, ahead of the 6:00 AM Eastern start of shift.</t>
        </is>
      </c>
      <c r="I24" s="37" t="inlineStr">
        <is>
          <t>Resolved 7/29 in a live session with the ADUSA team. Closed.</t>
        </is>
      </c>
      <c r="J24" s="37" t="inlineStr">
        <is>
          <t>7/29/2026 - Resolved</t>
        </is>
      </c>
    </row>
    <row r="25" ht="68.25" customHeight="1" s="24">
      <c r="A25" s="40" t="inlineStr">
        <is>
          <t>RCS-28042</t>
        </is>
      </c>
      <c r="B25" s="41" t="inlineStr">
        <is>
          <t>Eric Lauseng unable to access system</t>
        </is>
      </c>
      <c r="C25" s="41" t="inlineStr">
        <is>
          <t>Closed</t>
        </is>
      </c>
      <c r="D25" s="38" t="inlineStr">
        <is>
          <t>Resolved</t>
        </is>
      </c>
      <c r="E25" s="41" t="inlineStr">
        <is>
          <t>Viraj Kansara</t>
        </is>
      </c>
      <c r="F25" s="42" t="n">
        <v>46232</v>
      </c>
      <c r="G25" s="42" t="n">
        <v>46238</v>
      </c>
      <c r="H25" s="41" t="inlineStr">
        <is>
          <t>A contracted Central Station user hit a redirect loop at sign-in because the global Employee ID attribute was not populated on the Azure and Entra profile for contractor and vendor accounts.</t>
        </is>
      </c>
      <c r="I25" s="41" t="inlineStr">
        <is>
          <t>ADUSA's IAM team populated the field and the sync completed. Confirmed signed in on 8/1. Closed.</t>
        </is>
      </c>
      <c r="J25" s="41" t="inlineStr">
        <is>
          <t>8/1/2026 - Resolved - ADUSA IAM issue</t>
        </is>
      </c>
    </row>
    <row r="26" ht="74.25" customHeight="1" s="24">
      <c r="A26" s="36" t="inlineStr">
        <is>
          <t>RCS-28059</t>
        </is>
      </c>
      <c r="B26" s="37" t="inlineStr">
        <is>
          <t>Users are getting "Sorry, you have been blocked" message using the new LPMS URL</t>
        </is>
      </c>
      <c r="C26" s="37" t="inlineStr">
        <is>
          <t>Closed</t>
        </is>
      </c>
      <c r="D26" s="38" t="inlineStr">
        <is>
          <t>Resolved</t>
        </is>
      </c>
      <c r="E26" s="37" t="inlineStr">
        <is>
          <t>Vedant Shirude</t>
        </is>
      </c>
      <c r="F26" s="39" t="n">
        <v>46233</v>
      </c>
      <c r="G26" s="39" t="n">
        <v>46247</v>
      </c>
      <c r="H26" s="37" t="inlineStr">
        <is>
          <t>Users at store and corporate locations were intermittently blocked at sign-in. Traffic routed through the ADUSA proxy service was exiting through Canadian nodes, which the Appriss web security rule was rejecting.</t>
        </is>
      </c>
      <c r="I26" s="37" t="inlineStr">
        <is>
          <t>Canada was allowed on 7/31 and April confirmed users could log on. Closed. If ADUSA can share the full list of countries its traffic may exit through, Appriss will allow them in advance rather than one at a time.</t>
        </is>
      </c>
      <c r="J26" s="37" t="inlineStr">
        <is>
          <t>7/31/2026 - Resolved</t>
        </is>
      </c>
    </row>
    <row r="27" ht="78" customHeight="1" s="24">
      <c r="A27" s="40" t="inlineStr">
        <is>
          <t>RCS-28053</t>
        </is>
      </c>
      <c r="B27" s="41" t="inlineStr">
        <is>
          <t>Requesting the NON SAML link to LPMS</t>
        </is>
      </c>
      <c r="C27" s="41" t="inlineStr">
        <is>
          <t>Completed</t>
        </is>
      </c>
      <c r="D27" s="38" t="inlineStr">
        <is>
          <t>Resolved</t>
        </is>
      </c>
      <c r="E27" s="41" t="inlineStr">
        <is>
          <t>David Vargas</t>
        </is>
      </c>
      <c r="F27" s="42" t="n">
        <v>46233</v>
      </c>
      <c r="G27" s="42" t="n">
        <v>46248</v>
      </c>
      <c r="H27" s="41" t="inlineStr">
        <is>
          <t>Central Station needed the non-SAML sign-in link from the prior platform. The legacy shared account authenticated by email address rather than numeric ID, the address on file could not receive mail, and the account was locked.</t>
        </is>
      </c>
      <c r="I27" s="41" t="inlineStr">
        <is>
          <t>The Central Station account was rebuilt against CentralStation@adusa.com and unlocked. A Central Station manager signed in, reset the password and cleared the cases that were waiting. Resolved.</t>
        </is>
      </c>
      <c r="J27" s="41" t="inlineStr">
        <is>
          <t>8/5/2026 - Resolved</t>
        </is>
      </c>
    </row>
    <row r="28" ht="409" customHeight="1" s="24">
      <c r="A28" s="36" t="inlineStr">
        <is>
          <t>RCS-28693</t>
        </is>
      </c>
      <c r="B28" s="37" t="inlineStr">
        <is>
          <t>User not provisioned to the system unable to log in</t>
        </is>
      </c>
      <c r="C28" s="37" t="inlineStr">
        <is>
          <t>Under Engineering Review</t>
        </is>
      </c>
      <c r="D28" s="53" t="inlineStr">
        <is>
          <t>Active with Appriss</t>
        </is>
      </c>
      <c r="E28" s="37" t="inlineStr">
        <is>
          <t>Matthew Kamminga</t>
        </is>
      </c>
      <c r="F28" s="39" t="n">
        <v>46266</v>
      </c>
      <c r="G28" s="39" t="n">
        <v>46280</v>
      </c>
      <c r="H28" s="37" t="inlineStr">
        <is>
          <t>Harrison Xu, Giant Food store 233, Asset Protection for Giant District 104, cannot sign in to LPMS and receives an error message. Ahold reports the behaviour differs from what it saw while testing the new sign-in URL.</t>
        </is>
      </c>
      <c r="I28" s="37" t="inlineStr">
        <is>
          <t>Ahold asks Appriss to confirm whether an ADUSA user without a provisioned role should still reach the system as a Store Reporter. Jim states this was a change Appriss built when the platform moved to the new URL, to retire the separate Store Reporter address, and that it was developed and tested in the test environment. Appriss raised the question internally with engineering on 9/10 and the ticket moved to the platform team. Appriss owes Ahold that confirmation.</t>
        </is>
      </c>
      <c r="J28" s="37" t="inlineStr">
        <is>
          <t>Ticket opened 9/1/2026
9/1/2026 - The user is part of AP Level 2 Ahold. A user that is the same as them is Kyle Moses. A user without LPMS access, Paula Dotson, was able to authenticate under the Store Reporter role while testing the new sign in URL.
9/2/2026 - Sending Harrison Xu the test link since he has not yet been provisioned. Will report back once he tests.
9/5/2026 - Harrison reached the test environment and got further than before, then hit an error creating a case.
9/7/2026 - Store and security group access added directly. Waiting on confirmation that Harrison can now get in.
9/8/2026 - Appriss removed the comparison account's test access and asked Ahold to confirm the restriction holds. Leigh Ann is taking this back to her team for discussion.
9/9/2026 - Ahold asked Appriss to confirm that an unprovisioned ADUSA user should still reach the system under the Store Reporter role.
9/10/2026 - Jim confirmed this was built to retire the separate Store Reporter URL and was tested in the test environment. Appriss is confirming the expected behaviour internally.</t>
        </is>
      </c>
    </row>
    <row r="29" ht="190" customHeight="1" s="24">
      <c r="A29" s="61" t="inlineStr">
        <is>
          <t>RCS-29315</t>
        </is>
      </c>
      <c r="B29" s="62" t="inlineStr">
        <is>
          <t>User cannot get past the sign in screen</t>
        </is>
      </c>
      <c r="C29" s="62" t="inlineStr">
        <is>
          <t>Under Engineering Review</t>
        </is>
      </c>
      <c r="D29" s="59" t="inlineStr">
        <is>
          <t>Active with Appriss</t>
        </is>
      </c>
      <c r="E29" s="62" t="inlineStr">
        <is>
          <t>Megha Rathi</t>
        </is>
      </c>
      <c r="F29" s="63" t="n">
        <v>46302</v>
      </c>
      <c r="G29" s="63" t="n">
        <v>46308</v>
      </c>
      <c r="H29" s="62" t="inlineStr">
        <is>
          <t>A Central Station operator reaches the sign in screen and cannot get any further. The page refreshes and stays where it is, with no error message, and the user does not appear as logged in. Raised 10/7.</t>
        </is>
      </c>
      <c r="I29" s="62" t="inlineStr">
        <is>
          <t>Appriss traced the sign in through the single sign on log and confirmed on 10/13 that the user's sign in reaches the platform, carrying her role and location details. No account is created for her after that point, so the behaviour sits in how the platform handles the sign in rather than on the Ahold side. Appriss passed the case to engineering the same day. Nothing is needed from Ahold while that review runs.</t>
        </is>
      </c>
      <c r="J29" s="62" t="inlineStr">
        <is>
          <t>Ticket opened 10/7/2026
10/7/2026 - She reaches the sign in screen and cannot get any further.
10/9/2026 - Link and access level sent. She does not get an error message, the page refreshes and stays there.
10/13/2026 - Appriss confirmed the sign in reaches the platform with her role and location details, and no account is created. Passed to engineering, no action needed from Ahold for now.</t>
        </is>
      </c>
    </row>
    <row r="30" ht="175" customHeight="1" s="24">
      <c r="A30" s="57" t="inlineStr">
        <is>
          <t>RCS-29376</t>
        </is>
      </c>
      <c r="B30" s="58" t="inlineStr">
        <is>
          <t>Reset Password option visible on the Admin users screen</t>
        </is>
      </c>
      <c r="C30" s="58" t="inlineStr">
        <is>
          <t>Under Delivery Review</t>
        </is>
      </c>
      <c r="D30" s="59" t="inlineStr">
        <is>
          <t>Active with Appriss</t>
        </is>
      </c>
      <c r="E30" s="58" t="inlineStr">
        <is>
          <t>David Parraga</t>
        </is>
      </c>
      <c r="F30" s="60" t="n">
        <v>46304</v>
      </c>
      <c r="G30" s="60" t="n">
        <v>46307</v>
      </c>
      <c r="H30" s="58" t="inlineStr">
        <is>
          <t>Reset Password appears as an option on the Admin users screen. Ahold authenticates through SSO and asks that the option not be available there, and wants to know whether it is visible anywhere else. Raised 10/9.</t>
        </is>
      </c>
      <c r="I30" s="58" t="inlineStr">
        <is>
          <t>Appriss reproduced the button on the Ahold tenant and confirmed it appears on the user record in the Admin users screen. The case moved on 10/12 from engineering to the delivery team for initial review, since what is needed is a configuration answer rather than a platform change. Appriss will come back on whether the option can be removed for Ahold and where else it appears.</t>
        </is>
      </c>
      <c r="J30" s="58" t="inlineStr">
        <is>
          <t>Ticket opened 10/9/2026
10/9/2026 - Reset Password is an option on the Admin users screen. We authenticate by SSO, so this does not need to be there, and we do not want anyone able to change it wherever else it may be visible.
10/12/2026 - Appriss moved the case to the delivery team for initial review.</t>
        </is>
      </c>
    </row>
    <row r="31" ht="21.75" customHeight="1" s="24">
      <c r="A31" s="35" t="inlineStr">
        <is>
          <t>User accounts and duplicates</t>
        </is>
      </c>
    </row>
    <row r="32" ht="94.5" customHeight="1" s="24">
      <c r="A32" s="36" t="inlineStr">
        <is>
          <t>RCS-28135</t>
        </is>
      </c>
      <c r="B32" s="37" t="inlineStr">
        <is>
          <t>Duplicated users</t>
        </is>
      </c>
      <c r="C32" s="37" t="inlineStr">
        <is>
          <t>Closed</t>
        </is>
      </c>
      <c r="D32" s="38" t="inlineStr">
        <is>
          <t>Resolved</t>
        </is>
      </c>
      <c r="E32" s="37" t="inlineStr">
        <is>
          <t>Juan Martinez</t>
        </is>
      </c>
      <c r="F32" s="39" t="n">
        <v>46237</v>
      </c>
      <c r="G32" s="39" t="n">
        <v>46248</v>
      </c>
      <c r="H32" s="37" t="inlineStr">
        <is>
          <t>Some people appeared twice in the user table, the second record carrying an email address with a digit appended. The prior system allowed one person to hold several login IDs under a shared email address for different roles, and the unified platform requires a unique email per account.</t>
        </is>
      </c>
      <c r="I32" s="37" t="inlineStr">
        <is>
          <t>The duplicate records were removed on 8/4 and ADUSA confirmed the same evening. Closed. Related follow-on work continues under RCS-28177 and RCS-28342.</t>
        </is>
      </c>
      <c r="J32" s="37" t="inlineStr">
        <is>
          <t>8/4/2026 - Resolved</t>
        </is>
      </c>
    </row>
    <row r="33" ht="117" customHeight="1" s="24">
      <c r="A33" s="40" t="inlineStr">
        <is>
          <t>RCS-28177</t>
        </is>
      </c>
      <c r="B33" s="41" t="inlineStr">
        <is>
          <t>Error when performing search on case for user with a numeral in the email address</t>
        </is>
      </c>
      <c r="C33" s="41" t="inlineStr">
        <is>
          <t>Closed</t>
        </is>
      </c>
      <c r="D33" s="38" t="inlineStr">
        <is>
          <t>Resolved</t>
        </is>
      </c>
      <c r="E33" s="41" t="inlineStr">
        <is>
          <t>Viraj Kansara</t>
        </is>
      </c>
      <c r="F33" s="42" t="n">
        <v>46239</v>
      </c>
      <c r="G33" s="42" t="n">
        <v>46259</v>
      </c>
      <c r="H33" s="41" t="inlineStr">
        <is>
          <t>Affected users could not search cases or find their store when creating one, and case owners whose email address contains a numeral did not display as owner. Users named include Nicholas Wilson, Shamar Anderson, Travis Scott, Luis Tapia and Jonathan Wright.</t>
        </is>
      </c>
      <c r="I33" s="41" t="inlineStr">
        <is>
          <t>Cause: mismatched user identifiers between the old and new user records, plus an incorrect home store on some accounts. 44 records were corrected on 8/14, including the Hannaford account for jonathan.wright2 on 8/17, applied to every matching account rather than the named users alone. ADUSA confirmed on 8/19 that testing shows the issue is resolved. Closed in Jira.</t>
        </is>
      </c>
      <c r="J33" s="41" t="inlineStr">
        <is>
          <t>8/13/2026 - Still an issue. Currently being worked on by Appriss.
8/14/2026 - Appriss believes that it has been fixed.
8/18/2026 - Cleared for the named users.
8/19/2026 - Testing shows the issue is resolved. Closed.</t>
        </is>
      </c>
    </row>
    <row r="34" ht="150.75" customHeight="1" s="24">
      <c r="A34" s="36" t="inlineStr">
        <is>
          <t>RCS-28342</t>
        </is>
      </c>
      <c r="B34" s="37" t="inlineStr">
        <is>
          <t>Anthony Lopez, employee data missing from profile</t>
        </is>
      </c>
      <c r="C34" s="37" t="inlineStr">
        <is>
          <t>Closed</t>
        </is>
      </c>
      <c r="D34" s="38" t="inlineStr">
        <is>
          <t>Resolved</t>
        </is>
      </c>
      <c r="E34" s="37" t="inlineStr">
        <is>
          <t>Juan Martinez</t>
        </is>
      </c>
      <c r="F34" s="39" t="n">
        <v>46246</v>
      </c>
      <c r="G34" s="39" t="n">
        <v>46260</v>
      </c>
      <c r="H34" s="37" t="inlineStr">
        <is>
          <t>Anthony Lopez appeared twice when selecting a case approver, one entry blank and one showing Specialist Investigator, so approvers could not tell which record was correct and approvals could route to the wrong person. Sampling showed the job title missing on other accounts too, which made this wider than one user.</t>
        </is>
      </c>
      <c r="I34" s="37" t="inlineStr">
        <is>
          <t>Appriss updated the single sign-on mapping on 8/18, corrected the existing user titles by script on 8/21 and confirmed all title data corrected on 8/24. Jim confirmed on 8/26 that testing shows the data corrected and asked for the ticket to be closed. Closed in Jira. The code change that keeps newly created users from dropping the title stays scheduled as a separate development item.</t>
        </is>
      </c>
      <c r="J34" s="37" t="inlineStr">
        <is>
          <t>8/13/2026 - Still an issue with some users not having their job title updated in the LPMS user file from claim data. Anthony Lopez was manually updated.
8/18/2026 - Data is still missing. Janai Harrison and Stacie Whetzel are examples where the title field from the SSO claim data does not appear to be populating the User table.
8/19/2026 - Titles still do not appear after signing out and back in.
8/26/2026 - Testing shows that this appears to have been corrected. Ticket can be closed.</t>
        </is>
      </c>
    </row>
    <row r="35" ht="97.5" customHeight="1" s="24">
      <c r="A35" s="40" t="inlineStr">
        <is>
          <t>RCS-28364</t>
        </is>
      </c>
      <c r="B35" s="41" t="inlineStr">
        <is>
          <t>Brian Somsky unable to see his old cases</t>
        </is>
      </c>
      <c r="C35" s="41" t="inlineStr">
        <is>
          <t>Closed</t>
        </is>
      </c>
      <c r="D35" s="38" t="inlineStr">
        <is>
          <t>Resolved</t>
        </is>
      </c>
      <c r="E35" s="41" t="inlineStr">
        <is>
          <t>Juan Martinez</t>
        </is>
      </c>
      <c r="F35" s="42" t="n">
        <v>46247</v>
      </c>
      <c r="G35" s="42" t="n">
        <v>46265</v>
      </c>
      <c r="H35" s="41" t="inlineStr">
        <is>
          <t>A user with the company since 2017 could not view any of his historical cases. Four identifier records were held for him and one disagreed with the others.</t>
        </is>
      </c>
      <c r="I35" s="41" t="inlineStr">
        <is>
          <t>His record was updated on 8/14 to match the identifier from the previous system. A search on 8/18 returned his cases back to the start of the year with the account active. ADUSA confirmed it is resolved. Appriss will follow up separately on Anthony Powell, who reported the same symptom on 8/14.</t>
        </is>
      </c>
      <c r="J35" s="41" t="inlineStr">
        <is>
          <t>Ticket opened 08/13/2026
8/18/2026 - Appears to be resolved as a substantial number of cases are showing now.</t>
        </is>
      </c>
    </row>
    <row r="36" ht="96.75" customHeight="1" s="24">
      <c r="A36" s="36" t="inlineStr">
        <is>
          <t>RCS-28379</t>
        </is>
      </c>
      <c r="B36" s="37" t="inlineStr">
        <is>
          <t>Case Owner, Case Creator and Case Assigned To are blank</t>
        </is>
      </c>
      <c r="C36" s="37" t="inlineStr">
        <is>
          <t>Closed</t>
        </is>
      </c>
      <c r="D36" s="38" t="inlineStr">
        <is>
          <t>Resolved</t>
        </is>
      </c>
      <c r="E36" s="37" t="inlineStr">
        <is>
          <t>Diego Buelvas</t>
        </is>
      </c>
      <c r="F36" s="39" t="n">
        <v>46248</v>
      </c>
      <c r="G36" s="39" t="n">
        <v>46259</v>
      </c>
      <c r="H36" s="37" t="inlineStr">
        <is>
          <t>Multiple cases displayed with no Case Owner, Case Creator or Assigned To, with examples supplied for the Hannaford brand including a case at store 8389. Cause identified as a user identity mismatch carried over during the platform move, along with some accounts being incorrectly deactivated.</t>
        </is>
      </c>
      <c r="I36" s="37" t="inlineStr">
        <is>
          <t>A correction pass across the affected case records was completed on 8/17. A sample drawn on 8/18 from the case list ADUSA supplied returned a populated Case Owner, Case Creator and Assigned To on every case checked. ADUSA confirmed resolution on the call. Closed in Jira.</t>
        </is>
      </c>
      <c r="J36" s="37" t="inlineStr">
        <is>
          <t>Ticket opened 08/13/2026
8/17/2026 - Still appears to be an issue. Some case examples are on the next sheet
8/18/2026 - Sampled cases now show the owner populated.</t>
        </is>
      </c>
    </row>
    <row r="37" ht="150" customHeight="1" s="24">
      <c r="A37" s="61" t="inlineStr">
        <is>
          <t>RCS-29282</t>
        </is>
      </c>
      <c r="B37" s="62" t="inlineStr">
        <is>
          <t>User with two hierarchies cannot create a case</t>
        </is>
      </c>
      <c r="C37" s="62" t="inlineStr">
        <is>
          <t>Closed</t>
        </is>
      </c>
      <c r="D37" s="66" t="inlineStr">
        <is>
          <t>Resolved</t>
        </is>
      </c>
      <c r="E37" s="62" t="inlineStr">
        <is>
          <t>Diego Buelvas</t>
        </is>
      </c>
      <c r="F37" s="63" t="n">
        <v>46300</v>
      </c>
      <c r="G37" s="63" t="n">
        <v>46301</v>
      </c>
      <c r="H37" s="62" t="inlineStr">
        <is>
          <t>A user with access to two hierarchies could not get past the select incident type screen when creating a report. Ahold confirmed the user should hold one profile only and asked whether other accounts are in the same state. Raised 10/5.</t>
        </is>
      </c>
      <c r="I37" s="62" t="inlineStr">
        <is>
          <t>Appriss corrected the account so the user holds a single hierarchy, and Ahold confirmed on 10/6 that the user can create cases again. The ticket closed the same day.</t>
        </is>
      </c>
      <c r="J37" s="62" t="inlineStr">
        <is>
          <t>Ticket opened 10/5/2026
10/5/2026 - The user cannot get past the select incident type screen. He should only have one profile.
10/6/2026 - Confirmed resolved on our side.</t>
        </is>
      </c>
    </row>
    <row r="38" ht="21.75" customHeight="1" s="24">
      <c r="A38" s="35" t="inlineStr">
        <is>
          <t>Store and brand restrictions</t>
        </is>
      </c>
    </row>
    <row r="39" ht="68.25" customHeight="1" s="24">
      <c r="A39" s="36" t="inlineStr">
        <is>
          <t>RCS-28023</t>
        </is>
      </c>
      <c r="B39" s="37" t="inlineStr">
        <is>
          <t>Users are unable to create cases when restricted by Division</t>
        </is>
      </c>
      <c r="C39" s="37" t="inlineStr">
        <is>
          <t>Closed</t>
        </is>
      </c>
      <c r="D39" s="38" t="inlineStr">
        <is>
          <t>Resolved</t>
        </is>
      </c>
      <c r="E39" s="37" t="inlineStr">
        <is>
          <t>Viraj Kansara</t>
        </is>
      </c>
      <c r="F39" s="39" t="n">
        <v>46232</v>
      </c>
      <c r="G39" s="39" t="n">
        <v>46246</v>
      </c>
      <c r="H39" s="37" t="inlineStr">
        <is>
          <t>AP Level 1, Level 2 and Level 2 lead users could not create cases because their user to location assignments pointed at location records whose brand did not match the division on the store.</t>
        </is>
      </c>
      <c r="I39" s="37" t="inlineStr">
        <is>
          <t>Corrected on 7/31 and confirmed working for the affected users. Closed.</t>
        </is>
      </c>
      <c r="J39" s="37" t="inlineStr">
        <is>
          <t>7/31/2026 - Resolved</t>
        </is>
      </c>
    </row>
    <row r="40" ht="75" customHeight="1" s="24">
      <c r="A40" s="40" t="inlineStr">
        <is>
          <t>RCS-28043</t>
        </is>
      </c>
      <c r="B40" s="41" t="inlineStr">
        <is>
          <t>Users with Store locations that are duplicates in other brands</t>
        </is>
      </c>
      <c r="C40" s="41" t="inlineStr">
        <is>
          <t>Closed</t>
        </is>
      </c>
      <c r="D40" s="38" t="inlineStr">
        <is>
          <t>Resolved</t>
        </is>
      </c>
      <c r="E40" s="41" t="inlineStr">
        <is>
          <t>Viraj Kansara</t>
        </is>
      </c>
      <c r="F40" s="42" t="n">
        <v>46232</v>
      </c>
      <c r="G40" s="42" t="n">
        <v>46246</v>
      </c>
      <c r="H40" s="41" t="inlineStr">
        <is>
          <t>Users assigned to Stop &amp; Shop and Giant Food of Landover locations were seeing only the matching Food Lion store number, because store numbers that duplicate across brands had both locations assigned to the profile.</t>
        </is>
      </c>
      <c r="I40" s="41" t="inlineStr">
        <is>
          <t>Corrected across all affected users. Closed.</t>
        </is>
      </c>
      <c r="J40" s="41" t="inlineStr">
        <is>
          <t>7/30/2026 - Resolved</t>
        </is>
      </c>
    </row>
    <row r="41" ht="225" customHeight="1" s="24">
      <c r="A41" s="36" t="inlineStr">
        <is>
          <t>RCS-28093</t>
        </is>
      </c>
      <c r="B41" s="37" t="inlineStr">
        <is>
          <t>Employees not restricted by Store location</t>
        </is>
      </c>
      <c r="C41" s="37" t="inlineStr">
        <is>
          <t>Completed</t>
        </is>
      </c>
      <c r="D41" s="54" t="inlineStr">
        <is>
          <t>Resolved</t>
        </is>
      </c>
      <c r="E41" s="37" t="inlineStr">
        <is>
          <t>Matthew Kamminga</t>
        </is>
      </c>
      <c r="F41" s="39" t="n">
        <v>46234</v>
      </c>
      <c r="G41" s="39" t="n">
        <v>46274</v>
      </c>
      <c r="H41" s="37" t="inlineStr">
        <is>
          <t>Two parts: users seeing stores from the wrong brand, corrected 7/31 and confirmed 8/12; and employee search still returning associates from more than one brand for the same store number, both inside a case and from the admin employee table.</t>
        </is>
      </c>
      <c r="I41" s="37" t="inlineStr">
        <is>
          <t>Appriss delivered the fix and asked Ahold to verify on 9/8. Jim tested on 9/9 and confirmed employee search inside a case returns only the selected brand, with each employee listed once. On the admin Manage Associates screen the brand filter has to be applied on that screen as well, because that filter is what ties the search to the field carrying the brand. Jim applied it and got results for one brand alone. Jim confirmed he was comfortable closing this as resolved and Appriss closed it in Jira.</t>
        </is>
      </c>
      <c r="J41" s="37" t="inlineStr">
        <is>
          <t>8/13/2026 - Still an issue from both inside a case and when an admin searches the employee table.
08/14/2026 - Still an issue
8/18/2026 - Searching Food Lion Store #0001 returns employees at Stop &amp; Shop Store #0001 as well.
8/19/2026 - Confirmed same behavior existed before the platform move.
8/24/2026 - Do you have the equivalent of what field or placement that is on the Employee feed that you receive?
8/27/2026 - Field identified as position 20 in DA_Employee_Info.dat.
8/31/2026 - We (Amy Bradley, April Valerio and I) have verified that position 20 houses the legal entity names. There are no blanks in this column.
9/8/2026 - Appriss delivered the fix and asked Ahold to confirm employee search is working correctly now.
9/9/2026 - Employee search inside a case is restricted to the selected brand and shows each employee once. The admin screen returns both brands unless the brand filter is applied there as well.
9/9/2026 - Fine with closing this ticket as resolved, as the admin screen has fewer users who would need to know about the second filter.
9/9/2026 - Closed in Jira as resolved.</t>
        </is>
      </c>
    </row>
    <row r="42" ht="96.75" customHeight="1" s="24">
      <c r="A42" s="40" t="inlineStr">
        <is>
          <t>RCS-28519</t>
        </is>
      </c>
      <c r="B42" s="41" t="inlineStr">
        <is>
          <t>Users cannot view any stores to enter cases</t>
        </is>
      </c>
      <c r="C42" s="41" t="inlineStr">
        <is>
          <t>Closed</t>
        </is>
      </c>
      <c r="D42" s="38" t="inlineStr">
        <is>
          <t>Resolved</t>
        </is>
      </c>
      <c r="E42" s="41" t="inlineStr">
        <is>
          <t>Diego Buelvas</t>
        </is>
      </c>
      <c r="F42" s="42" t="n">
        <v>46255</v>
      </c>
      <c r="G42" s="42" t="n">
        <v>46260</v>
      </c>
      <c r="H42" s="41" t="inlineStr">
        <is>
          <t>Two users assigned to Stop &amp; Shop at LP User Level 2, Deborah Jean at store 0498 and Sammy Rivera, could not select any store when entering a case. Ahold reported cases waiting to be entered as a result. Signing out, clearing browser cache and rebooting made no difference.</t>
        </is>
      </c>
      <c r="I42" s="41" t="inlineStr">
        <is>
          <t>Appriss reviewed both user profiles and store assignments and corrected the configuration. Sammy Rivera tested successfully on 8/26 and Deborah Jean followed the same morning. Jim confirmed both users can enter cases and asked for the ticket to be closed. Closed in Jira as a configuration fix.</t>
        </is>
      </c>
      <c r="J42" s="41" t="inlineStr">
        <is>
          <t>Ticket opened 8/21/2026
8/26/2026 - Sammy Rivera tested and it worked. We are waiting on Deborah Jean to return.
8/26/2026 - Both Deborah Jean and Sammy Rivera tested and it worked. Ticket can be closed.</t>
        </is>
      </c>
    </row>
    <row r="43" ht="64.5" customHeight="1" s="24">
      <c r="A43" s="36" t="inlineStr">
        <is>
          <t>RCS-28365</t>
        </is>
      </c>
      <c r="B43" s="37" t="inlineStr">
        <is>
          <t>Melanie Engleman unable to create cases</t>
        </is>
      </c>
      <c r="C43" s="37" t="inlineStr">
        <is>
          <t>Closed</t>
        </is>
      </c>
      <c r="D43" s="38" t="inlineStr">
        <is>
          <t>Resolved</t>
        </is>
      </c>
      <c r="E43" s="37" t="inlineStr">
        <is>
          <t>Bikash Kumar</t>
        </is>
      </c>
      <c r="F43" s="39" t="n">
        <v>46247</v>
      </c>
      <c r="G43" s="39" t="n">
        <v>46253</v>
      </c>
      <c r="H43" s="37" t="inlineStr">
        <is>
          <t>The user could sign in but could not select a store to create a case, or search for cases in LPMS. Her provisioning profile showed office location 7225.</t>
        </is>
      </c>
      <c r="I43" s="37" t="inlineStr">
        <is>
          <t>Location 7225 was assigned on 8/13 and ADUSA confirmed on 8/17 the issue is resolved. Reviewed alongside RCS-28415, which had the same symptom for two new users. Closed in Jira.</t>
        </is>
      </c>
      <c r="J43" s="37" t="inlineStr">
        <is>
          <t>Ticket Opened 8/13/2026
8/17/2026 - Issue resolved</t>
        </is>
      </c>
    </row>
    <row r="44" ht="105.75" customHeight="1" s="24">
      <c r="A44" s="40" t="inlineStr">
        <is>
          <t>RCS-28415</t>
        </is>
      </c>
      <c r="B44" s="41" t="inlineStr">
        <is>
          <t>Two new Stop &amp; Shop users unable to create cases at Location level</t>
        </is>
      </c>
      <c r="C44" s="41" t="inlineStr">
        <is>
          <t>Closed</t>
        </is>
      </c>
      <c r="D44" s="38" t="inlineStr">
        <is>
          <t>Resolved</t>
        </is>
      </c>
      <c r="E44" s="41" t="inlineStr">
        <is>
          <t>Bikash Kumar</t>
        </is>
      </c>
      <c r="F44" s="42" t="n">
        <v>46251</v>
      </c>
      <c r="G44" s="42" t="n">
        <v>46253</v>
      </c>
      <c r="H44" s="41" t="inlineStr">
        <is>
          <t>Two new hires could not select a store to start a case. After entering a store number the screen paused and then returned no store listing, and a second attempt returned no matching location found. Neither user had a location assigned.</t>
        </is>
      </c>
      <c r="I44" s="41" t="inlineStr">
        <is>
          <t>Both users were corrected. One had no location assigned, the other had a location at the wrong hierarchy level, limiting them to Food Lion instead of Stop &amp; Shop. ADUSA confirmed on 8/18 both have tested and can access the system. Appriss has offered to walk the ADUSA team through assigning locations in the new application.</t>
        </is>
      </c>
      <c r="J44" s="41" t="inlineStr">
        <is>
          <t>Ticket opened 08/17/2026
8/18/2026 - Both have tested and are able to access the system.</t>
        </is>
      </c>
    </row>
    <row r="45" ht="162" customHeight="1" s="24">
      <c r="A45" s="36" t="inlineStr">
        <is>
          <t>RCS-28596</t>
        </is>
      </c>
      <c r="B45" s="37" t="inlineStr">
        <is>
          <t>Employees duplicated in the employee search on a case</t>
        </is>
      </c>
      <c r="C45" s="37" t="inlineStr">
        <is>
          <t>Completed</t>
        </is>
      </c>
      <c r="D45" s="54" t="inlineStr">
        <is>
          <t>Resolved</t>
        </is>
      </c>
      <c r="E45" s="37" t="inlineStr">
        <is>
          <t>Shandana Khan</t>
        </is>
      </c>
      <c r="F45" s="39" t="n">
        <v>46260</v>
      </c>
      <c r="G45" s="39" t="n">
        <v>46274</v>
      </c>
      <c r="H45" s="37" t="inlineStr">
        <is>
          <t>When adding an employee to a case through the employee search, each employee appears twice. The employee table reached from the admin screen shows each employee once. Raised 8/26 with a screenshot.</t>
        </is>
      </c>
      <c r="I45" s="37" t="inlineStr">
        <is>
          <t>The cause sat in the code behind the associate lookup screen. Engineering delivered the fix with a release and Appriss asked Jim to verify on 9/8. Jim tested on 9/9 and confirmed the employee search returns each employee once. Closed in Jira as resolved with the release.</t>
        </is>
      </c>
      <c r="J45" s="37" t="inlineStr">
        <is>
          <t>Ticket opened 8/26/2026
9/4/2026 - Appriss told Jim this is with engineering and will update him once it comes back.
9/8/2026 - Appriss asked Jim to confirm the fix is working now.
9/9/2026 - Tested and it is working correctly now. Closed in Jira.</t>
        </is>
      </c>
    </row>
    <row r="46" ht="409" customHeight="1" s="24">
      <c r="A46" s="40" t="inlineStr">
        <is>
          <t>RCS-28667</t>
        </is>
      </c>
      <c r="B46" s="41" t="inlineStr">
        <is>
          <t>New users provisioned without a hierarchy cannot select a store</t>
        </is>
      </c>
      <c r="C46" s="41" t="inlineStr">
        <is>
          <t>Accepted into Development</t>
        </is>
      </c>
      <c r="D46" s="59" t="inlineStr">
        <is>
          <t>Active with Appriss</t>
        </is>
      </c>
      <c r="E46" s="41" t="inlineStr">
        <is>
          <t>Shandana Khan</t>
        </is>
      </c>
      <c r="F46" s="42" t="n">
        <v>46263</v>
      </c>
      <c r="G46" s="42" t="n">
        <v>46297</v>
      </c>
      <c r="H46" s="41" t="inlineStr">
        <is>
          <t>New users reach the platform without a hierarchy assigned, so they cannot select a store location to start a case. Ahold works around it by opening the user profile and adding a hierarchy location by hand, after which the user can create cases. Gabriel Quist confirmed that route works for him. Ahold also asks whether assigning the hierarchy per new user belongs to the client administrator or should come from the provisioning configuration.</t>
        </is>
      </c>
      <c r="I46" s="41" t="inlineStr">
        <is>
          <t>Appriss confirmed on 9/24 that assigning a hierarchy to a new user is an administrator step today. The platform does not assign one when the account is created, and the steps from Settings &gt; Users &gt; Hierarchies were sent with screenshots. Leigh Ann explained that access is requested through Ahold IT, granted by Brand/Division, and that users only authenticate through single sign-on with Azure provisioning, so a manual step per user does not fit Ahold's flow. Appriss engineering is working on a change so that sign-in assigns the store hierarchy from the store and banner values Ahold already sends, which removes the manual step. Until that is released, assigning the hierarchy from the Hierarchies tab unblocks a new user. Engineering accepted the change into development on 10/2. Appriss will update this ticket as that work progresses, and will come back to agree how the change is tested before it is released.</t>
        </is>
      </c>
      <c r="J46" s="41" t="inlineStr">
        <is>
          <t>Ticket opened 8/29/2026
8/29/2026 - I am having to manually go into the user profile and add a hierarchy location, and then they can create a case.
8/29/2026 - Per Gabriel Quist: I am able to select locations now and create cases.
9/2/2026 - Root cause suspected to be tied to the recent Delhaize and Ahold unification changes. Requesting engineering confirm whether this is a one time backfill or an ongoing gap.
9/3/2026 - Reproduction steps documented. Engineering ticket still pending.
9/24/2026 - Appriss confirmed hierarchy assignment is an administrator step and sent the steps with screenshots.
9/24/2026 - Users are provisioned by Brand/Division, not a single location or district, with a 4 to 6 hour sync. This has not been an issue until now. There has to be a better way.
9/24/2026 - Our IT department requires that users only authenticate through the SSO process, through Azure provisioning.
9/24/2026 - Appriss asked who on the Ahold IT team manages the Azure setup, to include them on the call.
9/30/2026 - Appriss confirmed engineering is working on a change so new users receive their store hierarchy when they sign in through Azure. No call needed for now. The Hierarchies tab remains the workaround.
10/2/2026 - Engineering accepted the change into development.</t>
        </is>
      </c>
    </row>
    <row r="47" ht="228" customHeight="1" s="24">
      <c r="A47" s="57" t="inlineStr">
        <is>
          <t>RCS-28752</t>
        </is>
      </c>
      <c r="B47" s="58" t="inlineStr">
        <is>
          <t>User provisioned to the wrong brand at a shared store number</t>
        </is>
      </c>
      <c r="C47" s="58" t="inlineStr">
        <is>
          <t>Completed</t>
        </is>
      </c>
      <c r="D47" s="54" t="inlineStr">
        <is>
          <t>Resolved</t>
        </is>
      </c>
      <c r="E47" s="58" t="inlineStr">
        <is>
          <t>Shandana Khan</t>
        </is>
      </c>
      <c r="F47" s="60" t="n">
        <v>46268</v>
      </c>
      <c r="G47" s="60" t="n">
        <v>46279</v>
      </c>
      <c r="H47" s="58" t="inlineStr">
        <is>
          <t>A user was provisioned to the wrong brand at a store number that Food Lion and Stop &amp; Shop both use. This is the same duplicate store number pattern behind RCS-28667 and RCS-28693.</t>
        </is>
      </c>
      <c r="I47" s="58" t="inlineStr">
        <is>
          <t>The process that assigns a location to a new user matched on store number without the division, so at a store number shared by Food Lion and Stop and Shop it returned the wrong one. Appriss corrected the view and applied the fix to the Ahold environment. The location assignment on the account was correct all along, so nothing changed on the user. Leigh Ann put the user on it and came back on 9/14, and Appriss closed the ticket the same afternoon. The wider code change continues separately so the correction reaches every client.</t>
        </is>
      </c>
      <c r="J47" s="58" t="inlineStr">
        <is>
          <t>Ticket opened 9/3/2026
9/7/2026 - Confirmed as the same duplicate store number pattern as RCS-28093, RCS-28667 and RCS-28693. Escalated to engineering for a permanent fix.
9/8/2026 - Handed to Mohammed Mutahhar for initial engineering review. Leigh Ann's question on alphabetical ordering between brands is still open.
9/9/2026 - Engineering confirmed the cause, the store lookup matches on store number without the division. Accepted into development as a code fix.
9/10/2026 - Appriss corrected the view and applied the fix to the Ahold environment. Ready for Ahold to retest.
9/11/2026 - Email sent to Christopher Kelly to confirm he can get in and create a case correctly.
9/14/2026 - Ahold came back on the retest and the ticket closed as resolved.</t>
        </is>
      </c>
    </row>
    <row r="48" ht="78.75" customHeight="1" s="24">
      <c r="A48" s="35" t="inlineStr">
        <is>
          <t>Case entry and assignment</t>
        </is>
      </c>
    </row>
    <row r="49" ht="219" customHeight="1" s="24">
      <c r="A49" s="36" t="inlineStr">
        <is>
          <t>RCS-28115</t>
        </is>
      </c>
      <c r="B49" s="37" t="inlineStr">
        <is>
          <t>LPMS fields are not clickable</t>
        </is>
      </c>
      <c r="C49" s="37" t="inlineStr">
        <is>
          <t>Completed</t>
        </is>
      </c>
      <c r="D49" s="38" t="inlineStr">
        <is>
          <t>Resolved</t>
        </is>
      </c>
      <c r="E49" s="37" t="inlineStr">
        <is>
          <t>J.R. Teagle</t>
        </is>
      </c>
      <c r="F49" s="39" t="n">
        <v>46235</v>
      </c>
      <c r="G49" s="39" t="n">
        <v>46246</v>
      </c>
      <c r="H49" s="37" t="inlineStr">
        <is>
          <t>Dropdown fields and the SAVE button did not respond on the Unusual Incident, Shoplifting, Burglary and Medical entry screens. Cause was a script error on the narrative field, after which the fields on the page stopped responding.</t>
        </is>
      </c>
      <c r="I49" s="37" t="inlineStr">
        <is>
          <t>A hotfix and a system cache clear went in on 8/1, within an hour of the report. Resolved.</t>
        </is>
      </c>
      <c r="J49" s="37" t="inlineStr">
        <is>
          <t>8/1/2026 - This issue has been resolved</t>
        </is>
      </c>
    </row>
    <row r="50" ht="111" customHeight="1" s="24">
      <c r="A50" s="40" t="inlineStr">
        <is>
          <t>RCS-28123</t>
        </is>
      </c>
      <c r="B50" s="41" t="inlineStr">
        <is>
          <t>Case assignment issues</t>
        </is>
      </c>
      <c r="C50" s="41" t="inlineStr">
        <is>
          <t>Completed</t>
        </is>
      </c>
      <c r="D50" s="38" t="inlineStr">
        <is>
          <t>Resolved</t>
        </is>
      </c>
      <c r="E50" s="41" t="inlineStr">
        <is>
          <t>Juan Martinez</t>
        </is>
      </c>
      <c r="F50" s="42" t="n">
        <v>46237</v>
      </c>
      <c r="G50" s="42" t="n">
        <v>46268</v>
      </c>
      <c r="H50" s="41" t="inlineStr">
        <is>
          <t>Assigning a case returned "Assigned to can't be blank", the case showed as assigned but the person did not appear in a search, and duplicate assignment emails were sent. Send to Approver also returned a blank screen and needed a manual refresh before the approver's name appeared.</t>
        </is>
      </c>
      <c r="I50" s="41" t="inlineStr">
        <is>
          <t>The assignment fix deployed 8/17 is confirmed working and Ahold verified it on 8/26. The confirmation window question is answered. Reassigning a case takes you straight to the workbench by design, it is not a defect from the platform move. Marking a case complete does show a confirmation screen and that works as expected. Viewing or printing the case as a PDF remains available from the workbench. The validation error some users hit on 8/19, when the assigned to field came back empty, is confirmed resolved as part of the same platform work that fixed the account issues. Ahold separately reported the notification email for a reassigned case is not sending. That is a distinct symptom and now has its own ticket, RCS-28766. Closed in Jira.</t>
        </is>
      </c>
      <c r="J50" s="41" t="inlineStr">
        <is>
          <t>8/13/2026 - Still an issue
8/14/2026 - Before, the case PDF could be printed from that same screen; now it has to be done from the workbench.
8/18/2026 - Agreed Appriss may validate end to end at location 9999.
8/26/2026 - Assignment is working. The box that used to pop up confirming the case had been assigned is not appearing; instead the user is brought to the workbench.
9/1/2026 - Confirmed the reassignment path does not lead to a confirmation window by design.
9/3/2026 - Confirmation screen question closed. Notification email issue split to RCS-28766.</t>
        </is>
      </c>
    </row>
    <row r="51" ht="159.75" customHeight="1" s="24">
      <c r="A51" s="36" t="inlineStr">
        <is>
          <t>RCS-28533</t>
        </is>
      </c>
      <c r="B51" s="37" t="inlineStr">
        <is>
          <t>Screen not rendering correctly for one user</t>
        </is>
      </c>
      <c r="C51" s="37" t="inlineStr">
        <is>
          <t>Closed</t>
        </is>
      </c>
      <c r="D51" s="38" t="inlineStr">
        <is>
          <t>Resolved</t>
        </is>
      </c>
      <c r="E51" s="37" t="inlineStr">
        <is>
          <t>Diego Buelvas</t>
        </is>
      </c>
      <c r="F51" s="39" t="n">
        <v>46256</v>
      </c>
      <c r="G51" s="39" t="n">
        <v>46260</v>
      </c>
      <c r="H51" s="37" t="inlineStr">
        <is>
          <t>User Ralph Valentine had an LPMS screen render with the columns crammed together, making the report narrative and neighbouring fields unusable. Screenshots of his view and a colleague's correct view of the same screen were supplied on the ticket.</t>
        </is>
      </c>
      <c r="I51" s="37" t="inlineStr">
        <is>
          <t>Appriss compared both screenshots and checked the rendering rules for that screen. Ahold worked directly with the user on 8/26, cleared browsing history, verified zoom at 100 percent and validated screen display and resolution. The user resolved the condition on his side and verified LPMS displays correctly. Closed in Jira at Ahold's request.</t>
        </is>
      </c>
      <c r="J51" s="37" t="inlineStr">
        <is>
          <t>Ticket opened 8/22/2026
8/26/2026 - We asked him to log completely out of LPMS, clear browsing history and reopen LPMS. Zoom level verified at 100%. Screen display and resolution validated. User resolved issue on his side and verified that LPMS was displaying as it should. This ticket may be closed.</t>
        </is>
      </c>
    </row>
    <row r="52" ht="119.25" customHeight="1" s="24">
      <c r="A52" s="40" t="inlineStr">
        <is>
          <t>RCS-28196</t>
        </is>
      </c>
      <c r="B52" s="41" t="inlineStr">
        <is>
          <t>AD Shoplifting Entry: two fields that used to be blank now default to No</t>
        </is>
      </c>
      <c r="C52" s="41" t="inlineStr">
        <is>
          <t>Closed</t>
        </is>
      </c>
      <c r="D52" s="38" t="inlineStr">
        <is>
          <t>Resolved</t>
        </is>
      </c>
      <c r="E52" s="41" t="inlineStr">
        <is>
          <t>Vedant Shirude</t>
        </is>
      </c>
      <c r="F52" s="42" t="n">
        <v>46239</v>
      </c>
      <c r="G52" s="42" t="n">
        <v>46260</v>
      </c>
      <c r="H52" s="41" t="inlineStr">
        <is>
          <t>Law Enforcement Notified and Vehicle Involved used to open blank and require the user to choose. They defaulted to No regardless of the true answer, so a saved case could record No where nobody answered. Cause identified: during the data migration these two fields were given a default value where they had previously been left empty.</t>
        </is>
      </c>
      <c r="I52" s="41" t="inlineStr">
        <is>
          <t>Both fields now open blank and require an entry of Yes or No, with the conditional items appearing as expected. Leigh Ann validated this on 8/24 and asked for the ticket to be closed. Closed in Jira. No revalidation is needed after the next release.</t>
        </is>
      </c>
      <c r="J52" s="41" t="inlineStr">
        <is>
          <t>8/13/2026 - Still an issue
8/14/2026 - Fix is in progress and is expected to be part of the release early next week
8/18/2026 - Validated that the fields are available and conditional formatting is working on that page.
8/19/2026 - Asked whether the same default shows on other pages.
8/24/2026 - Law Enforcement Notified and Vehicle Involved now defaults to blank upon case creation. Blank fields, required entry of Yes or No and conditional items appear when entering a case with these 2 fields. This case can be closed.</t>
        </is>
      </c>
    </row>
    <row r="53" ht="93" customHeight="1" s="24">
      <c r="A53" s="36" t="inlineStr">
        <is>
          <t>RCS-28304</t>
        </is>
      </c>
      <c r="B53" s="37" t="inlineStr">
        <is>
          <t>Case tier abbreviated on Central Station Master page</t>
        </is>
      </c>
      <c r="C53" s="37" t="inlineStr">
        <is>
          <t>Closed</t>
        </is>
      </c>
      <c r="D53" s="38" t="inlineStr">
        <is>
          <t>Resolved</t>
        </is>
      </c>
      <c r="E53" s="37" t="inlineStr">
        <is>
          <t>Viraj Kansara</t>
        </is>
      </c>
      <c r="F53" s="39" t="n">
        <v>46245</v>
      </c>
      <c r="G53" s="39" t="n">
        <v>46261</v>
      </c>
      <c r="H53" s="37" t="inlineStr">
        <is>
          <t>The case tier value was truncated on the Central Station Master page, so a longer value such as Associate assaulted by Associate did not display in full. The field had a fixed display width shared with the other summary fields. The full value was stored correctly throughout and the same truncation was present in the previous system.</t>
        </is>
      </c>
      <c r="I53" s="37" t="inlineStr">
        <is>
          <t>Appriss widened the field as part of development work already underway, so no enhancement request was needed from Ahold. The change reached production on the morning of 8/27. Leigh Ann confirmed the same morning that she sees the complete tier in the case and confirmed Appriss could close the ticket. Closed in Jira.</t>
        </is>
      </c>
      <c r="J53" s="37" t="inlineStr">
        <is>
          <t>8/13/2026 - Not affecting functionality. Is a display limitation on the Case entry Screen.
8/18/2026 - Yes please raise it, however this is low priority and can be shelved until the other system issues are resolved.
8/21/2026 - No enhancement request needed from Ahold.
8/27/2026 - I am able to see the complete tier in the case. More cosmetic but good to see the whole tier.</t>
        </is>
      </c>
    </row>
    <row r="54" ht="61.5" customHeight="1" s="24">
      <c r="A54" s="40" t="inlineStr">
        <is>
          <t>RCS-28369</t>
        </is>
      </c>
      <c r="B54" s="41" t="inlineStr">
        <is>
          <t>Case number did not change when the location changed</t>
        </is>
      </c>
      <c r="C54" s="41" t="inlineStr">
        <is>
          <t>Closed</t>
        </is>
      </c>
      <c r="D54" s="38" t="inlineStr">
        <is>
          <t>Resolved</t>
        </is>
      </c>
      <c r="E54" s="41" t="inlineStr">
        <is>
          <t>Viraj Kansara</t>
        </is>
      </c>
      <c r="F54" s="42" t="n">
        <v>46247</v>
      </c>
      <c r="G54" s="42" t="n">
        <v>46252</v>
      </c>
      <c r="H54" s="41" t="inlineStr">
        <is>
          <t>A case was created against store 6510 that should have been store 6314. The location was changed several times and the case number did not follow, which raised a concern about duplicated or lost cases.</t>
        </is>
      </c>
      <c r="I54" s="41" t="inlineStr">
        <is>
          <t>Nothing was duplicated and nothing was lost. The case reads correctly under location 6314. A code fix went out in the release on the morning of 8/17 and Appriss verified in production that changing the location now updates the case number. ADUSA validated on 8/14. Closed in Jira.</t>
        </is>
      </c>
      <c r="J54" s="41" t="inlineStr">
        <is>
          <t>Ticket opened 8/13/2026
8/14/2026 - Resolved by Appriss, validated by ADUSA</t>
        </is>
      </c>
    </row>
    <row r="55" ht="117" customHeight="1" s="24">
      <c r="A55" s="36" t="inlineStr">
        <is>
          <t>RCS-28378</t>
        </is>
      </c>
      <c r="B55" s="37" t="inlineStr">
        <is>
          <t>Landing page Save and Next buttons not working for the Hannaford brand</t>
        </is>
      </c>
      <c r="C55" s="37" t="inlineStr">
        <is>
          <t>Closed</t>
        </is>
      </c>
      <c r="D55" s="38" t="inlineStr">
        <is>
          <t>Resolved</t>
        </is>
      </c>
      <c r="E55" s="37" t="inlineStr">
        <is>
          <t>Vedant Shirude</t>
        </is>
      </c>
      <c r="F55" s="39" t="n">
        <v>46248</v>
      </c>
      <c r="G55" s="39" t="n">
        <v>46265</v>
      </c>
      <c r="H55" s="37" t="inlineStr">
        <is>
          <t>The Save and Next buttons on the landing page were reported as not working for the Hannaford brand.</t>
        </is>
      </c>
      <c r="I55" s="37" t="inlineStr">
        <is>
          <t>Ahold confirmed on 8/21 that the buttons are working. Transitioned to Completed.</t>
        </is>
      </c>
      <c r="J55" s="37" t="inlineStr">
        <is>
          <t>Ticket opened 08/13/2026
8/18/2026 - Confirming with the team, will follow up.
8/19/2026 - Following up again, awaiting confirmation.
8/21/2026 - Buttons are working.</t>
        </is>
      </c>
    </row>
    <row r="56" ht="205" customHeight="1" s="24">
      <c r="A56" s="40" t="inlineStr">
        <is>
          <t>RCS-28683</t>
        </is>
      </c>
      <c r="B56" s="41" t="inlineStr">
        <is>
          <t>Adding an additional associate to a case returns a 404</t>
        </is>
      </c>
      <c r="C56" s="41" t="inlineStr">
        <is>
          <t>Accepted into Development</t>
        </is>
      </c>
      <c r="D56" s="59" t="inlineStr">
        <is>
          <t>Active with Appriss</t>
        </is>
      </c>
      <c r="E56" s="41" t="inlineStr">
        <is>
          <t>Shandana Khan</t>
        </is>
      </c>
      <c r="F56" s="42" t="n">
        <v>46265</v>
      </c>
      <c r="G56" s="42" t="n">
        <v>46295</v>
      </c>
      <c r="H56" s="41" t="inlineStr">
        <is>
          <t>When adding an additional associate to a case, after selecting the items to copy across to the next person, a 404 error appears. Selecting return to home brings the user back to the workbench, where the newly created case is present and has to be selected in order to add further information. Ahold reports its teams use multiple subjects on the same case frequently.</t>
        </is>
      </c>
      <c r="I56" s="41" t="inlineStr">
        <is>
          <t>Appriss reproduced the same 404 error the customer sees. The page the system tries to load after adding an associate does not exist on the server, which points to a platform defect rather than a data or account issue. Engineering accepted the fix into development. The case itself is created when the error appears and nothing entered is lost: select Return to Home, open the new case from the workbench and continue there. Leigh Ann linked this on 9/16 to the same error on the Elevator Entrapment case type. RCS-29164, raised 9/29 on Hannaford cases, describes the same steps and error, and Appriss is reviewing it against this ticket.</t>
        </is>
      </c>
      <c r="J56" s="41" t="inlineStr">
        <is>
          <t>Ticket opened 8/31/2026
9/3/2026 - Our engineering team is actively investigating the issue and continuing work toward a resolution.
9/9/2026 - Moved to engineering review with Matthew Kamminga.
9/24/2026 - Appriss confirmed the fix was accepted into development and shared the Return to Home workaround.</t>
        </is>
      </c>
    </row>
    <row r="57" ht="99.75" customHeight="1" s="24">
      <c r="A57" s="57" t="inlineStr">
        <is>
          <t>RCS-28766</t>
        </is>
      </c>
      <c r="B57" s="58" t="inlineStr">
        <is>
          <t>Case reassignment notification email not sending</t>
        </is>
      </c>
      <c r="C57" s="58" t="inlineStr">
        <is>
          <t>Closed</t>
        </is>
      </c>
      <c r="D57" s="54" t="inlineStr">
        <is>
          <t>Resolved</t>
        </is>
      </c>
      <c r="E57" s="58" t="inlineStr">
        <is>
          <t>Diego Buelvas</t>
        </is>
      </c>
      <c r="F57" s="60" t="n">
        <v>46268</v>
      </c>
      <c r="G57" s="60" t="n">
        <v>46275</v>
      </c>
      <c r="H57" s="58" t="inlineStr">
        <is>
          <t>Ahold reported that the email notifying a newly assigned person does not go out. Split out on 9/3 from RCS-28123, which tracked the confirmation screen question, since this is a separate symptom.</t>
        </is>
      </c>
      <c r="I57" s="58" t="inlineStr">
        <is>
          <t>Appriss traced the fault to a change merged on 8/14 that removed the block creating the reassignment alert. Engineering restored it and deployed the correction to production. Appriss asked Ahold to verify on 9/10 and Leigh Ann confirmed the same morning that she reassigned a case and the new assignee received the notification. Closed in Jira.</t>
        </is>
      </c>
      <c r="J57" s="58" t="inlineStr">
        <is>
          <t>Ticket opened 9/3/2026
9/3/2026 - Diego Buelvas has taken ownership and is investigating.
9/4/2026 - Root cause identified at the code level. Formal engineering ticket still pending.
9/7/2026 - Moved to the engineer on duty to validate the finding.
9/9/2026 - Engineering confirmed the code change that removed the notification and took ownership of the fix.
9/10/2026 - Assigned a case to a user and she confirmed the notification email arrived. Closed in Jira.</t>
        </is>
      </c>
    </row>
    <row r="58" ht="132" customHeight="1" s="24">
      <c r="A58" s="61" t="inlineStr">
        <is>
          <t>RCS-28849</t>
        </is>
      </c>
      <c r="B58" s="62" t="inlineStr">
        <is>
          <t>Users not receiving the confirmation screen when assigning a case</t>
        </is>
      </c>
      <c r="C58" s="62" t="inlineStr">
        <is>
          <t>Accepted into Development</t>
        </is>
      </c>
      <c r="D58" s="59" t="inlineStr">
        <is>
          <t>Active with Appriss</t>
        </is>
      </c>
      <c r="E58" s="62" t="inlineStr">
        <is>
          <t>Shandana Khan</t>
        </is>
      </c>
      <c r="F58" s="63" t="n">
        <v>46274</v>
      </c>
      <c r="G58" s="63" t="n">
        <v>46279</v>
      </c>
      <c r="H58" s="62" t="inlineStr">
        <is>
          <t>Assigning a case does not present the confirmation screen that carries the option to view and print the report. The equivalent screen shown when a case is rejected works correctly, and Ahold supplied it as the reference. This behaviour was first reported inside RCS-28123 when Leigh Ann tested on 8/26. It was logged as a separate item for engineering at the time and RCS-28123 closed on the notification email question, so Jim raised it on its own ticket on 9/9.</t>
        </is>
      </c>
      <c r="I58" s="62" t="inlineStr">
        <is>
          <t>Appriss compared the assign and the reject paths. The reject path sends the user to the confirmation page, the assign path does not, and it has not carried that screen for around three years. RCS-28123 reached the same conclusion. Appriss reviewed it with engineering on 9/14 and accepted it as a change request rather than a defect, so adding the screen is a product enhancement. Appriss will update this ticket as that work progresses.</t>
        </is>
      </c>
      <c r="J58" s="62" t="inlineStr">
        <is>
          <t>Ticket opened 9/9/2026
9/9/2026 - The rejected case message screen works correctly, the case assignment confirmation screen does not.
9/9/2026 - Possibly related to RCS-28766 and RCS-28123.
9/10/2026 - Appriss confirmed the assign path has never carried the confirmation screen, unlike the reject path. Reinstating it is a product decision.
9/14/2026 - Accepted as a change request. The confirmation screen on the assign path is current behaviour by design, so adding it goes through product rather than as a fix.</t>
        </is>
      </c>
    </row>
    <row r="59" ht="160" customHeight="1" s="24">
      <c r="A59" s="57" t="inlineStr">
        <is>
          <t>RCS-28910</t>
        </is>
      </c>
      <c r="B59" s="58" t="inlineStr">
        <is>
          <t>New case type cannot be closed and its workbench view differs</t>
        </is>
      </c>
      <c r="C59" s="58" t="inlineStr">
        <is>
          <t>Closed</t>
        </is>
      </c>
      <c r="D59" s="66" t="inlineStr">
        <is>
          <t>Resolved</t>
        </is>
      </c>
      <c r="E59" s="58" t="inlineStr">
        <is>
          <t>Vedant Shirude</t>
        </is>
      </c>
      <c r="F59" s="60" t="n">
        <v>46279</v>
      </c>
      <c r="G59" s="60" t="n">
        <v>46282</v>
      </c>
      <c r="H59" s="58" t="inlineStr">
        <is>
          <t>The Elevator Entrapment case type was created shortly before the move to the new URL and two things do not behave like the other case types. A case of that type cannot be closed from the workbench under Update Status, even though the workflow allows it. The workbench for that type also does not show the side bar or the case information bar that other types show. Raised 9/14 with screenshots.</t>
        </is>
      </c>
      <c r="I59" s="58" t="inlineStr">
        <is>
          <t>The Elevator Entrapment case type now carries the side bar and the case information bar that the other case types show, and Update Status from the workbench now offers both Case Completed and Closed. Leigh Ann verified both on 9/16 and agreed on 9/17 that the ticket could close. The error that appears when adding a person to a case is tracked on RCS-28683 and continues there.</t>
        </is>
      </c>
      <c r="J59" s="58" t="inlineStr">
        <is>
          <t>Ticket opened 9/14/2026
9/14/2026 - No ability to close the case from the workbench, and the workbench is missing the side bar and case info bar that another case type has.
9/15/2026 - Appriss took ownership and started the investigation.
9/16/2026 - Side bar and case information bar added to the workbench for this case type, and Update Status now allows the case to be completed as well as closed.
9/17/2026 - Ahold confirmed the case type behaves correctly and agreed to close. The error when adding a person to a case moves to RCS-28683.</t>
        </is>
      </c>
    </row>
    <row r="60" ht="280" customHeight="1" s="24">
      <c r="A60" s="61" t="inlineStr">
        <is>
          <t>RCS-29059</t>
        </is>
      </c>
      <c r="B60" s="62" t="inlineStr">
        <is>
          <t>Associated indicator not showing on the quick receipt</t>
        </is>
      </c>
      <c r="C60" s="62" t="inlineStr">
        <is>
          <t>Completed</t>
        </is>
      </c>
      <c r="D60" s="66" t="inlineStr">
        <is>
          <t>Resolved</t>
        </is>
      </c>
      <c r="E60" s="62" t="inlineStr">
        <is>
          <t>Vedant Shirude</t>
        </is>
      </c>
      <c r="F60" s="63" t="n">
        <v>46287</v>
      </c>
      <c r="G60" s="63" t="n">
        <v>46300</v>
      </c>
      <c r="H60" s="62" t="inlineStr">
        <is>
          <t>The Associated indicator on the quick receipt is not marking transactions that already sit in an investigation. Ahold raised it while reviewing work items that appear to duplicate because of the date range behind them. Ahold reports the same behaviour on the Ahold instance and has an earlier screenshot showing the indicator working there. Raised 9/22 with a video.</t>
        </is>
      </c>
      <c r="I60" s="62" t="inlineStr">
        <is>
          <t>The Associated indicator now marks transactions that sit in an investigation. Ahold validated it on 10/2 and confirmed on 10/5 that it shows correctly, and the ticket closed the same day.</t>
        </is>
      </c>
      <c r="J60" s="62" t="inlineStr">
        <is>
          <t>Ticket opened 9/22/2026
9/22/2026 - A transaction that sits in an investigation is not indicated as Associated on the quick receipt. The same behaviour shows on the Ahold instance, and an earlier screenshot shows the indicator working there.
9/30/2026 - The Associated flag should show that a transaction was already identified by another user, even when that investigation was not shared.
9/30/2026 - Appriss turned the setting back on for Delhaize and Ahold and asked the team to verify.
10/5/2026 - Confirmed the Associated tab is showing correctly again.</t>
        </is>
      </c>
    </row>
    <row r="61" ht="205" customHeight="1" s="24">
      <c r="A61" s="57" t="inlineStr">
        <is>
          <t>RCS-29108</t>
        </is>
      </c>
      <c r="B61" s="58" t="inlineStr">
        <is>
          <t>Reassigned user not notified, repeated emails on one case</t>
        </is>
      </c>
      <c r="C61" s="58" t="inlineStr">
        <is>
          <t>Under Customer Review</t>
        </is>
      </c>
      <c r="D61" s="65" t="inlineStr">
        <is>
          <t>Awaiting Ahold input</t>
        </is>
      </c>
      <c r="E61" s="58" t="inlineStr">
        <is>
          <t>Vedant Shirude</t>
        </is>
      </c>
      <c r="F61" s="60" t="n">
        <v>46289</v>
      </c>
      <c r="G61" s="60" t="n">
        <v>46307</v>
      </c>
      <c r="H61" s="58" t="inlineStr">
        <is>
          <t>Erica Sacre received several emails about case 2026-Food Lion, LLC-1565-7 after it was assigned to her. She then assigned it to Stephanie Jenkins, who received no notification. Ahold has not heard of other users seeing this. Raised 9/24 with a screenshot.</t>
        </is>
      </c>
      <c r="I61" s="58" t="inlineStr">
        <is>
          <t>Appriss checked the reassignment notice and the repeated emails separately, since each comes from a different part of the platform. The setting that sends a notice on reassignment is switched on for Ahold, the user has an email address on her record, and the correction behind the missing notice is already in production. Appriss asked Ahold on 10/12 to confirm whether that user is still not receiving the notices, and for the case number and the time of an assignment if she is, so the remaining half can be traced.</t>
        </is>
      </c>
      <c r="J61" s="58" t="inlineStr">
        <is>
          <t>Ticket opened 9/24/2026
9/24/2026 - Erica Sacre received various emails on the same case after she was assigned. Stephanie Jenkins did not receive any notification when the case was assigned to her.
10/12/2026 - Appriss confirmed the correction is in production and asked Ahold to check whether the user is still not receiving the notices.</t>
        </is>
      </c>
    </row>
    <row r="62" ht="175" customHeight="1" s="24">
      <c r="A62" s="61" t="inlineStr">
        <is>
          <t>RCS-29131</t>
        </is>
      </c>
      <c r="B62" s="62" t="inlineStr">
        <is>
          <t>Users unable to add items to a case</t>
        </is>
      </c>
      <c r="C62" s="62" t="inlineStr">
        <is>
          <t>Work in progress</t>
        </is>
      </c>
      <c r="D62" s="65" t="inlineStr">
        <is>
          <t>Awaiting Ahold input</t>
        </is>
      </c>
      <c r="E62" s="62" t="inlineStr">
        <is>
          <t>Vedant Shirude</t>
        </is>
      </c>
      <c r="F62" s="63" t="n">
        <v>46290</v>
      </c>
      <c r="G62" s="63" t="n">
        <v>46303</v>
      </c>
      <c r="H62" s="62" t="inlineStr">
        <is>
          <t>Users report they cannot add items to a case. Leigh Ann could add them from the workbench and is checking why it does not work inside the case itself. She also notes the item wording on the entry page differs from Items Involved on the workbench. Raised 9/25 with a screenshot and a video.</t>
        </is>
      </c>
      <c r="I62" s="62" t="inlineStr">
        <is>
          <t>The same user can add items to a case from another computer and from a tablet using the same browser, which points to something on that one machine rather than to the account or the case. Appriss sent the steps to try on 10/8 and Ahold passed them to the user. Appriss is waiting on what the user reports back.</t>
        </is>
      </c>
      <c r="J62" s="62" t="inlineStr">
        <is>
          <t>Ticket opened 9/25/2026
9/25/2026 - Users are having issues adding items to a case. Adding from the workbench works. There is a difference in terminology between the entry pages and Items Involved on the workbench.
9/28/2026 - Appriss asked for the case type and a sample case number.
10/8/2026 - Information sent to the user to try the recommendations, and the user has been asked to report back.</t>
        </is>
      </c>
    </row>
    <row r="63" ht="145" customHeight="1" s="24">
      <c r="A63" s="57" t="inlineStr">
        <is>
          <t>RCS-29163</t>
        </is>
      </c>
      <c r="B63" s="58" t="inlineStr">
        <is>
          <t>Add Merchandise button not responding on a shoplifting case</t>
        </is>
      </c>
      <c r="C63" s="58" t="inlineStr">
        <is>
          <t>Closed</t>
        </is>
      </c>
      <c r="D63" s="66" t="inlineStr">
        <is>
          <t>Resolved</t>
        </is>
      </c>
      <c r="E63" s="58" t="inlineStr">
        <is>
          <t>Diego Buelvas</t>
        </is>
      </c>
      <c r="F63" s="60" t="n">
        <v>46294</v>
      </c>
      <c r="G63" s="60" t="n">
        <v>46296</v>
      </c>
      <c r="H63" s="58" t="inlineStr">
        <is>
          <t>Marcus Banks cannot add merchandise to shoplifting case 2026-THE STOP &amp; SHOP SUPERMARKET COMPANY LLC-0851-88. The button does not respond when clicked. Raised 9/29.</t>
        </is>
      </c>
      <c r="I63" s="58" t="inlineStr">
        <is>
          <t>The user is able to add items to an incident report again. Ahold confirmed on 10/1 that everything works, and the ticket closed the same day.</t>
        </is>
      </c>
      <c r="J63" s="58" t="inlineStr">
        <is>
          <t>Ticket opened 9/29/2026
9/29/2026 - Marcus Banks is unable to click the button to add merchandise. The button is not responding.
9/30/2026 - Appriss asked for a recording of the steps, the browser and the window size used.
10/1/2026 - User has confirmed that everything is great and he is able to add items.</t>
        </is>
      </c>
    </row>
    <row r="64" ht="160" customHeight="1" s="24">
      <c r="A64" s="61" t="inlineStr">
        <is>
          <t>RCS-29164</t>
        </is>
      </c>
      <c r="B64" s="62" t="inlineStr">
        <is>
          <t>Error when adding an additional subject to a case</t>
        </is>
      </c>
      <c r="C64" s="62" t="inlineStr">
        <is>
          <t>Work in progress</t>
        </is>
      </c>
      <c r="D64" s="59" t="inlineStr">
        <is>
          <t>Active with Appriss</t>
        </is>
      </c>
      <c r="E64" s="62" t="inlineStr">
        <is>
          <t>Edwin Garzon</t>
        </is>
      </c>
      <c r="F64" s="63" t="n">
        <v>46294</v>
      </c>
      <c r="G64" s="63" t="n">
        <v>46294</v>
      </c>
      <c r="H64" s="62" t="inlineStr">
        <is>
          <t>Eric Hanson receives an error screen after completing a case on the workbench and clicking Add to enter an additional subject. He selects Return Home and edits the second entry page to add the suspect's information. Examples 2026-HANNAFORD BROS. CO., LLC 8377-136 and 8377-137. Raised 9/29.</t>
        </is>
      </c>
      <c r="I64" s="62" t="inlineStr">
        <is>
          <t>Jim confirmed on 9/29 the error was a 404, seen on 9/25 between 5:10 and 5:15 PM. That is the same error as RCS-28683, where the fix is in development, and Appriss is reviewing it against that ticket. The Return Home workaround on RCS-28683 applies here as well.</t>
        </is>
      </c>
      <c r="J64" s="62" t="inlineStr">
        <is>
          <t>Ticket opened 9/29/2026
9/29/2026 - Error when adding an additional subject after clicking Add on the workbench. The user returns home and edits the second entry page to add the suspect's information.
9/29/2026 - Error seen on 9/25 between 5:10 and 5:15 PM. Error Code 404.</t>
        </is>
      </c>
    </row>
    <row r="65" ht="165" customHeight="1" s="24">
      <c r="A65" s="57" t="inlineStr">
        <is>
          <t>RCS-29234</t>
        </is>
      </c>
      <c r="B65" s="58" t="inlineStr">
        <is>
          <t>Cases not saving and entered data lost</t>
        </is>
      </c>
      <c r="C65" s="58" t="inlineStr">
        <is>
          <t>Accepted into Development</t>
        </is>
      </c>
      <c r="D65" s="59" t="inlineStr">
        <is>
          <t>Active with Appriss</t>
        </is>
      </c>
      <c r="E65" s="58" t="inlineStr">
        <is>
          <t>Shandana Khan</t>
        </is>
      </c>
      <c r="F65" s="60" t="n">
        <v>46296</v>
      </c>
      <c r="G65" s="60" t="n">
        <v>46303</v>
      </c>
      <c r="H65" s="58" t="inlineStr">
        <is>
          <t>After entering data into a case and clicking Save, the system stalled, returned to the case screen and lost everything entered. It affected many users across many case types. Raised 10/1.</t>
        </is>
      </c>
      <c r="I65" s="58" t="inlineStr">
        <is>
          <t>The application was restored on 10/2 and no further reports have come in on the ticket since. Engineering accepted the case into development and confirmed on 10/8 that cases save without problems in the test environment. Appriss will update this ticket as that work progresses.</t>
        </is>
      </c>
      <c r="J65" s="58" t="inlineStr">
        <is>
          <t>Ticket opened 10/1/2026
10/1/2026 - After entering data into a case, clicking Save stalls and returns to the case screen with all entered data deleted. Many users and many case types.
10/6/2026 - Appriss confirmed the application was restored and no new reports had come in.</t>
        </is>
      </c>
    </row>
    <row r="66" ht="147" customHeight="1" s="24">
      <c r="A66" s="35" t="inlineStr">
        <is>
          <t>Attachments and file handling</t>
        </is>
      </c>
    </row>
    <row r="67" ht="21.75" customHeight="1" s="24">
      <c r="A67" s="36" t="inlineStr">
        <is>
          <t>RCS-28025</t>
        </is>
      </c>
      <c r="B67" s="37" t="inlineStr">
        <is>
          <t>Unable to view Attachments</t>
        </is>
      </c>
      <c r="C67" s="37" t="inlineStr">
        <is>
          <t>Closed</t>
        </is>
      </c>
      <c r="D67" s="38" t="inlineStr">
        <is>
          <t>Resolved</t>
        </is>
      </c>
      <c r="E67" s="37" t="inlineStr">
        <is>
          <t>Viraj Kansara</t>
        </is>
      </c>
      <c r="F67" s="39" t="n">
        <v>46232</v>
      </c>
      <c r="G67" s="39" t="n">
        <v>46246</v>
      </c>
      <c r="H67" s="37" t="inlineStr">
        <is>
          <t>Attachments would not open. Two causes. The attachment sync for ADUSA ran against a misconfigured client ID, so files were written to the wrong folder, and the full re-sync took nine hours because of the volume. Separately, commas in filenames produced a malformed response header that browsers rejected.</t>
        </is>
      </c>
      <c r="I67" s="37" t="inlineStr">
        <is>
          <t>The filename handling fix reached production on 8/6 and ADUSA confirmed files open. Closed. Remaining attachment work is tracked under RCS-28124 and RCS-28535.</t>
        </is>
      </c>
      <c r="J67" s="37" t="inlineStr">
        <is>
          <t>8/6/2026 - Resolved.</t>
        </is>
      </c>
    </row>
    <row r="68" ht="180.75" customHeight="1" s="24">
      <c r="A68" s="40" t="inlineStr">
        <is>
          <t>RCS-28124</t>
        </is>
      </c>
      <c r="B68" s="41" t="inlineStr">
        <is>
          <t>Certain attachments not visible</t>
        </is>
      </c>
      <c r="C68" s="41" t="inlineStr">
        <is>
          <t>Closed</t>
        </is>
      </c>
      <c r="D68" s="38" t="inlineStr">
        <is>
          <t>Resolved</t>
        </is>
      </c>
      <c r="E68" s="41" t="inlineStr">
        <is>
          <t>Juan Martinez</t>
        </is>
      </c>
      <c r="F68" s="42" t="n">
        <v>46237</v>
      </c>
      <c r="G68" s="42" t="n">
        <v>46257</v>
      </c>
      <c r="H68" s="41" t="inlineStr">
        <is>
          <t>PDF and MOV attachments were not visible where JPEG was. Closed 8/11, reopened 8/13 when Hannaford reported it still could not attach videos and was getting a Forbidden message. Viewing and downloading were restored, and uploading remained the open part.</t>
        </is>
      </c>
      <c r="I68" s="41" t="inlineStr">
        <is>
          <t>A further fix went into the 8/18 morning release. Ahold confirmed on 8/21 that there are no new reports of the Forbidden error against this ticket and that .txt is not a format its teams use, which closed the last open question. Resolved. The upload reports raised after this closure are tracked under RCS-28535.</t>
        </is>
      </c>
      <c r="J68" s="41" t="inlineStr">
        <is>
          <t>8/11/2026 - Reported as resolved.
8/13/2026 - Users still reporting issues, ticket was re-opened.
8/14/2026 - Appriss advised that a fix has been deployed
8/18/2026 - A user reported receiving the forbidden error message again, screenshot attached.
8/21/2026 - No new reports of the Forbidden error. .txt is not a format our teams use.</t>
        </is>
      </c>
    </row>
    <row r="69" ht="90" customHeight="1" s="24">
      <c r="A69" s="36" t="inlineStr">
        <is>
          <t>RCS-28535</t>
        </is>
      </c>
      <c r="B69" s="37" t="inlineStr">
        <is>
          <t>Unable to upload attachments, Forbidden error</t>
        </is>
      </c>
      <c r="C69" s="37" t="inlineStr">
        <is>
          <t>Closed</t>
        </is>
      </c>
      <c r="D69" s="49" t="inlineStr">
        <is>
          <t>Resolved</t>
        </is>
      </c>
      <c r="E69" s="37" t="inlineStr">
        <is>
          <t>Edwin Garzon</t>
        </is>
      </c>
      <c r="F69" s="39" t="n">
        <v>46257</v>
      </c>
      <c r="G69" s="39" t="n">
        <v>46273</v>
      </c>
      <c r="H69" s="37" t="inlineStr">
        <is>
          <t>Raised 8/23 after RCS-28124 was closed. User Ian Jordan receives a Forbidden message when uploading attachments, specifically body worn camera video in MP4 format. On 8/24 Ahold added two further Hannaford users, Kayla De Jesus-Morales and Erica Shrader, with three case numbers where video upload failed.</t>
        </is>
      </c>
      <c r="I69" s="37" t="inlineStr">
        <is>
          <t>Leigh Ann narrowed the behaviour on 8/24. Clips of around two minutes upload without error. Files of eleven minutes or more fail at roughly 60 percent and return the Forbidden message. Jim asked Leigh Ann to follow up on 9/3 and she sent the request to two Hannaford managers the same day. Erica confirmed on 9/8 that the issue is resolved and asked to close the ticket. Closed in Jira.</t>
        </is>
      </c>
      <c r="J69" s="37" t="inlineStr">
        <is>
          <t>Ticket opened 8/23/2026
8/24/2026 - 2 more users from the Hannaford brand are reporting the inability to add attachments. Cases 2026-HANNAFORD BROS. CO., LLC-8327-51, 2026-HANNAFORD BROS. CO., LLC-8109-161 and 2026-HANNAFORD BROS. CO., LLC-8109-164.
8/24/2026 - Small video clips of 2 minutes or so actually work. The files they have are 11 plus minutes and the system is timing out on uploading the file. Users get to about 60% and then receive the Forbidden error message.
9/3/2026 - Jim asked Leigh Ann to follow up. Leigh Ann sent the request to 2 Hannaford managers, awaiting reply.
9/8/2026 - Erica confirmed the issue is resolved and asked to close the ticket. Closed in Jira.</t>
        </is>
      </c>
    </row>
    <row r="70" ht="190" customHeight="1" s="24">
      <c r="A70" s="61" t="inlineStr">
        <is>
          <t>RCS-29042</t>
        </is>
      </c>
      <c r="B70" s="62" t="inlineStr">
        <is>
          <t>Attachments tab returns an error on one case</t>
        </is>
      </c>
      <c r="C70" s="62" t="inlineStr">
        <is>
          <t>Closed</t>
        </is>
      </c>
      <c r="D70" s="66" t="inlineStr">
        <is>
          <t>Resolved</t>
        </is>
      </c>
      <c r="E70" s="62" t="inlineStr">
        <is>
          <t>Vedant Shirude</t>
        </is>
      </c>
      <c r="F70" s="63" t="n">
        <v>46287</v>
      </c>
      <c r="G70" s="63" t="n">
        <v>46300</v>
      </c>
      <c r="H70" s="62" t="inlineStr">
        <is>
          <t>Opening the attachments tab on case 2026-FOOD LION, LLC-1586-2 returns an error. The same tab opens correctly on a different case, so the behaviour looks specific to that case rather than to the tab itself. Ahold asks what is happening with that case number and whether the case should be deleted and redone. Raised 9/22 with a screenshot.</t>
        </is>
      </c>
      <c r="I70" s="62" t="inlineStr">
        <is>
          <t>Appriss corrected the record behind that case and Leigh Ann confirmed on 10/5 that every attachment type on it opens correctly. The ticket closed the same day.</t>
        </is>
      </c>
      <c r="J70" s="62" t="inlineStr">
        <is>
          <t>Ticket opened 9/22/2026
9/22/2026 - The attachments tab returns an error on this case. A different case opens its attachments without trouble. What is going on with that case number, and should it be deleted and the case redone?
9/24/2026 - Appriss corrected the attachment entry on the case and asked Ahold to confirm the tab opens.
10/5/2026 - I went to the case and I was able to open all the attachment types within this case. It appears that the issue with this case is resolved.</t>
        </is>
      </c>
    </row>
    <row r="71" ht="150" customHeight="1" s="24">
      <c r="A71" s="57" t="inlineStr">
        <is>
          <t>RCS-29335</t>
        </is>
      </c>
      <c r="B71" s="58" t="inlineStr">
        <is>
          <t>Forbidden message when attaching photos from one phone model</t>
        </is>
      </c>
      <c r="C71" s="58" t="inlineStr">
        <is>
          <t>Closed</t>
        </is>
      </c>
      <c r="D71" s="66" t="inlineStr">
        <is>
          <t>Resolved</t>
        </is>
      </c>
      <c r="E71" s="58" t="inlineStr">
        <is>
          <t>Diego Buelvas</t>
        </is>
      </c>
      <c r="F71" s="60" t="n">
        <v>46302</v>
      </c>
      <c r="G71" s="60" t="n">
        <v>46303</v>
      </c>
      <c r="H71" s="58" t="inlineStr">
        <is>
          <t>A user could not upload photos taken on one model of phone and received a forbidden message, while photos from other phones uploaded without trouble. Raised 10/7.</t>
        </is>
      </c>
      <c r="I71" s="58" t="inlineStr">
        <is>
          <t>Appriss came back with what was behind the message and what the user can do about it, and Ahold asked on 10/8 to close the ticket.</t>
        </is>
      </c>
      <c r="J71" s="58" t="inlineStr">
        <is>
          <t>Ticket opened 10/7/2026
10/7/2026 - Anytime I try to upload pictures taken with this phone into LPMS it says forbidden. Pictures from a different phone upload without issue.
10/8/2026 - Please close this ticket.</t>
        </is>
      </c>
    </row>
    <row r="72" ht="88.5" customHeight="1" s="24">
      <c r="A72" s="35" t="inlineStr">
        <is>
          <t>Reporting and exports</t>
        </is>
      </c>
    </row>
    <row r="73" ht="140.25" customHeight="1" s="24">
      <c r="A73" s="36" t="inlineStr">
        <is>
          <t>RCS-28021</t>
        </is>
      </c>
      <c r="B73" s="37" t="inlineStr">
        <is>
          <t>Unable to use Izenda</t>
        </is>
      </c>
      <c r="C73" s="37" t="inlineStr">
        <is>
          <t>Closed</t>
        </is>
      </c>
      <c r="D73" s="38" t="inlineStr">
        <is>
          <t>Resolved</t>
        </is>
      </c>
      <c r="E73" s="37" t="inlineStr">
        <is>
          <t>Juan Martinez</t>
        </is>
      </c>
      <c r="F73" s="39" t="n">
        <v>46232</v>
      </c>
      <c r="G73" s="39" t="n">
        <v>46261</v>
      </c>
      <c r="H73" s="37" t="inlineStr">
        <is>
          <t>Two live problems. Export to Excel produced no file and no error, and reports did not return new data after 7/28. A report configuration error was corrected on 7/31 and that did not address either of these.</t>
        </is>
      </c>
      <c r="I73" s="37" t="inlineStr">
        <is>
          <t>The export fix reached production on the morning of 8/27. Jim confirmed the same morning that several users tested it and it works correctly, and asked for the ticket to be closed. Closed in Jira. Two notes on export behaviour in production, from the engineering team. CSV, Excel, DOC and XML exports run faster than PDF, and a large report can take more than 30 seconds to export to Excel. A PDF export of a large report can time out, so export to Excel or DOC and convert if a PDF is needed. If any export takes longer than three minutes, send it to Appriss and it will be handled individually.</t>
        </is>
      </c>
      <c r="J73" s="37" t="inlineStr">
        <is>
          <t>8/11/2026 - Still an issue. Automated reports are running but some data is missing. Some Adhoc reports run and export, however the file is blank
8/18/2026 - Still not resolved. Able to export one report to XLS but not CSV, and a second report will not export in either format.
8/19/2026 - Both reports confirmed still failing today.
8/24/2026 - Export still failing on Friday and Saturday.
8/27/2026 - We have had several users test and it is working correctly. The ticket can be closed.</t>
        </is>
      </c>
    </row>
    <row r="74" ht="21.75" customHeight="1" s="24">
      <c r="A74" s="40" t="inlineStr">
        <is>
          <t>RCS-28161</t>
        </is>
      </c>
      <c r="B74" s="41" t="inlineStr">
        <is>
          <t>Unable to export files from the platform to make lineup changes</t>
        </is>
      </c>
      <c r="C74" s="41" t="inlineStr">
        <is>
          <t>Closed</t>
        </is>
      </c>
      <c r="D74" s="38" t="inlineStr">
        <is>
          <t>Resolved</t>
        </is>
      </c>
      <c r="E74" s="41" t="inlineStr">
        <is>
          <t>Viraj Kansara</t>
        </is>
      </c>
      <c r="F74" s="42" t="n">
        <v>46238</v>
      </c>
      <c r="G74" s="42" t="n">
        <v>46254</v>
      </c>
      <c r="H74" s="41" t="inlineStr">
        <is>
          <t>The store file export downloaded but the CSV was blank, blocking brand lineup changes. It is taken from the location search screen, the file ADUSA edits and returns by FTP for bulk location updates, and was confirmed on a screen share with ADUSA on 8/11.</t>
        </is>
      </c>
      <c r="I74" s="41" t="inlineStr">
        <is>
          <t>Appriss traced the failure to the Manage Stores export specifically, a separate path from the Izenda reporting side. The fix reached production 8/20 and the ticket was closed out.</t>
        </is>
      </c>
      <c r="J74" s="41" t="inlineStr">
        <is>
          <t>8/13/2026 - Still remains an issue.
8/14/2026 - Fix is in progress and is expected to be part of the release early next week
8/18/2026 - Still an issue. The export runs but the file is blank.
8/19/2026 - Traced to the Manage Stores export specifically; fix in progress.</t>
        </is>
      </c>
    </row>
    <row r="75" ht="78.75" customHeight="1" s="24">
      <c r="A75" s="36" t="inlineStr">
        <is>
          <t>RCS-28413</t>
        </is>
      </c>
      <c r="B75" s="37" t="inlineStr">
        <is>
          <t>Izenda data for Central Division incorrect</t>
        </is>
      </c>
      <c r="C75" s="37" t="inlineStr">
        <is>
          <t>Closed</t>
        </is>
      </c>
      <c r="D75" s="38" t="inlineStr">
        <is>
          <t>Resolved</t>
        </is>
      </c>
      <c r="E75" s="37" t="inlineStr">
        <is>
          <t>Vedant Shirude</t>
        </is>
      </c>
      <c r="F75" s="39" t="n">
        <v>46251</v>
      </c>
      <c r="G75" s="39" t="n">
        <v>46254</v>
      </c>
      <c r="H75" s="37" t="inlineStr">
        <is>
          <t>The Central Division report generated for managers on 8/17 showed 66 cases where the division previously held around 268. Other divisions on the same report appeared correct. The report, Interview Data with Source, is distributed automatically to a recipient list.</t>
        </is>
      </c>
      <c r="I75" s="37" t="inlineStr">
        <is>
          <t>ADUSA confirmed on 8/19 that the corrected report shows the expected case count. Resolved.</t>
        </is>
      </c>
      <c r="J75" s="37" t="inlineStr">
        <is>
          <t>Ticket opened 08/17/2026
8/18/2026 - It is showing 66 cases for Central but should be around 268 as of July 27, 2026, the day prior to switch. The report is Interview Data with Source (AP REPORTS FOOD LION).
8/19/2026 - Confirmed working as expected.</t>
        </is>
      </c>
    </row>
    <row r="76" ht="120" customHeight="1" s="24">
      <c r="A76" s="40" t="inlineStr">
        <is>
          <t>RCS-28482</t>
        </is>
      </c>
      <c r="B76" s="41" t="inlineStr">
        <is>
          <t>Greyed out fields in Izenda</t>
        </is>
      </c>
      <c r="C76" s="41" t="inlineStr">
        <is>
          <t>Completed</t>
        </is>
      </c>
      <c r="D76" s="55" t="inlineStr">
        <is>
          <t>Resolved</t>
        </is>
      </c>
      <c r="E76" s="41" t="inlineStr">
        <is>
          <t>Juan Martinez</t>
        </is>
      </c>
      <c r="F76" s="42" t="n">
        <v>46253</v>
      </c>
      <c r="G76" s="42" t="n">
        <v>46274</v>
      </c>
      <c r="H76" s="41" t="inlineStr">
        <is>
          <t>On some Izenda reports the tabs at the top of the page render greyed out, which blocks changing report attributes. Reported 8/19 with a screenshot, on PBI - Current Location Listing (Jim Cosseboom Test) and Outlook Export (Jim Cosseboom Test).</t>
        </is>
      </c>
      <c r="I76" s="41" t="inlineStr">
        <is>
          <t>Rebuilding the Store join restored every tab on both reports. That rebuild also cleared the field selections, so Jim recreated both reports from scratch, using the field lists Appriss captured before the fix and sent on 9/8. Jim confirmed on 9/9 that this is resolved. Closed in Jira.</t>
        </is>
      </c>
      <c r="J76" s="41" t="inlineStr">
        <is>
          <t>Ticket opened 8/19/2026
8/22/2026 - The blocked tab is MISC, used to change report distribution. That information is not in Data Sources.
8/26/2026 - You are correct, the report is running correctly, it just isn't editable.
9/3/2026 - Support reproduced the same behavior on both reports and is moving this to engineering.
9/4/2026 - Both reports fixed. MISC tab available again on both. Waiting on Jim to confirm they look right.
9/5/2026 - Jim confirmed the tabs work. Most fields were deleted on both reports and he is rebuilding them himself.
9/8/2026 - Appriss sent the field lists both reports carried before the fix, so Jim has a starting point for the rebuild.
9/9/2026 - Reports rebuilt and confirmed resolved. Closed in Jira.</t>
        </is>
      </c>
    </row>
    <row r="77" ht="409" customHeight="1" s="24">
      <c r="A77" s="57" t="inlineStr">
        <is>
          <t>RCS-28824</t>
        </is>
      </c>
      <c r="B77" s="58" t="inlineStr">
        <is>
          <t>Store and cashier profiles return errors on the Delhaize instance</t>
        </is>
      </c>
      <c r="C77" s="58" t="inlineStr">
        <is>
          <t>Work in progress</t>
        </is>
      </c>
      <c r="D77" s="59" t="inlineStr">
        <is>
          <t>Active with Appriss</t>
        </is>
      </c>
      <c r="E77" s="58" t="inlineStr">
        <is>
          <t>Sebastian Rueda</t>
        </is>
      </c>
      <c r="F77" s="60" t="n">
        <v>46273</v>
      </c>
      <c r="G77" s="60" t="n">
        <v>46295</v>
      </c>
      <c r="H77" s="58" t="inlineStr">
        <is>
          <t>Store and cashier profiles on the new Delhaize instance have returned no information since go live, and every profile shows the same error. Raised 9/8 with a screenshot after a call between Becky LaPierre and Kristen Dyer about setting up metric searches and smart tracks. Ahold expects to build and edit the searches that drive these profiles once the error clears.</t>
        </is>
      </c>
      <c r="I77" s="58" t="inlineStr">
        <is>
          <t>Appriss corrected the store profile and Becky confirmed the Week, Month, Quarter and Year tabs now return charts. Two points stay open. The cashier profile page returns no charts, and the area map has no store coordinates to draw on. Ahold confirmed on 9/17 that it sends a store and location file and no employee file, and that what it needs on the cashier page is for the refund, void and coupon charts to populate. Because those charts populated on the previous platform, Appriss moved the question on 9/25 to the team that owns the profile configuration.</t>
        </is>
      </c>
      <c r="J77" s="58" t="inlineStr">
        <is>
          <t>Ticket opened 9/8/2026
9/8/2026 - No information has returned in the store and cashier profiles since production. Out of the box searches that should be working show the same error on every profile.
9/10/2026 - Appriss cleared the duplicated metric definitions and confirmed the profiles load. Ready for Ahold to retest.
9/11/2026 - Week tab now shows charts. Month, Quarter and Year show no data, and the area map did not update on any tab. Can the map be set up with the location data we send, which includes street addresses?
9/15/2026 - Month, Quarter and Year tabs now show charts.
9/15/2026 - The cashier profile page still returns no data, and the area map is still blank on the profile pages.
9/16/2026 - The empty cashier profile charts and the blank area map both point to missing data rather than to the pages. Referred to the data team.
9/17/2026 - We do send a location and store file, we do not send an employee file. What we need on the cashier profile page is for the charts to populate with refunds, voids and coupon history, not employee detail.
9/22/2026 - Appriss confirmed it is still working through the cashier profile charts and the area map with its data team.
9/25/2026 - Appriss moved the cashier profile question to the team that owns the profile configuration.
9/30/2026 - Appriss is confirming with its data team whether the cashier profile charts depend on an employee file.</t>
        </is>
      </c>
    </row>
    <row r="78" ht="135" customHeight="1" s="24">
      <c r="A78" s="61" t="inlineStr">
        <is>
          <t>RCS-28944</t>
        </is>
      </c>
      <c r="B78" s="62" t="inlineStr">
        <is>
          <t>Field mappings lost on a rebuilt location listing report</t>
        </is>
      </c>
      <c r="C78" s="62" t="inlineStr">
        <is>
          <t>Closed</t>
        </is>
      </c>
      <c r="D78" s="66" t="inlineStr">
        <is>
          <t>Resolved</t>
        </is>
      </c>
      <c r="E78" s="62" t="inlineStr">
        <is>
          <t>Vlad Bogus</t>
        </is>
      </c>
      <c r="F78" s="63" t="n">
        <v>46280</v>
      </c>
      <c r="G78" s="63" t="n">
        <v>46281</v>
      </c>
      <c r="H78" s="62" t="inlineStr">
        <is>
          <t>A location listing report was rebuilt and the mappings that turn binary values into readable text no longer work. The example given is the Inactive field, which should read Active when the value is zero and Inactive otherwise. Ahold has tried to recreate the mappings without success and asks for help setting them up. Raised 9/15.</t>
        </is>
      </c>
      <c r="I78" s="62" t="inlineStr">
        <is>
          <t>Appriss walked Ahold through rebuilding the mapping on the report column so it reads Active when the value is zero and Inactive otherwise. Jim confirmed on 9/16 that the report returns the expected text, and the ticket closed the same day.</t>
        </is>
      </c>
      <c r="J78" s="62" t="inlineStr">
        <is>
          <t>Ticket opened 9/15/2026
9/15/2026 - Rebuilt a location listing report and the mappings from binary results to text need to be recreated. One example is Inactive, which should read Active if the value is 0 and Inactive otherwise.
9/16/2026 - Appriss provided the steps to rebuild the mapping on the report column.
9/16/2026 - That worked, thank you.</t>
        </is>
      </c>
    </row>
    <row r="79" ht="175" customHeight="1" s="24">
      <c r="A79" s="57" t="inlineStr">
        <is>
          <t>RCS-29000</t>
        </is>
      </c>
      <c r="B79" s="58" t="inlineStr">
        <is>
          <t>Percent columns round inconsistently on a saved report</t>
        </is>
      </c>
      <c r="C79" s="58" t="inlineStr">
        <is>
          <t>Accepted into Development</t>
        </is>
      </c>
      <c r="D79" s="59" t="inlineStr">
        <is>
          <t>Active with Appriss</t>
        </is>
      </c>
      <c r="E79" s="58" t="inlineStr">
        <is>
          <t>Shandana Khan</t>
        </is>
      </c>
      <c r="F79" s="60" t="n">
        <v>46283</v>
      </c>
      <c r="G79" s="60" t="n">
        <v>46287</v>
      </c>
      <c r="H79" s="58" t="inlineStr">
        <is>
          <t>Percent columns on a front end report showed two decimal places until new columns were added to it. Since then one or two of those columns inconsistently return more than two decimals, and the column that behaves that way changes between runs of the same saved search, for the same store and for different stores. Ahold asks whether the rounding can be set on the fields or whether the behaviour comes from the application. Raised 9/18 with screenshots.</t>
        </is>
      </c>
      <c r="I79" s="58" t="inlineStr">
        <is>
          <t>Appriss reproduced the behaviour on the report. Running the same saved search without changing it returns one or two of the four calculated percent columns without the two decimal setting, and the column that behaves that way changes between runs. The values themselves are arithmetically correct, what varies is how they are presented, and the grid and the export behave the same way column for column. Engineering accepted the case into development on 9/22. Appriss will update this ticket as that work progresses.</t>
        </is>
      </c>
      <c r="J79" s="58" t="inlineStr">
        <is>
          <t>Ticket opened 9/18/2026
9/18/2026 - Percent columns used to show two decimal places. After new columns were added, one or two of them inconsistently show more than two, and the affected column changes from run to run. Is this the application, or is there a way to set the rounding on these fields?
9/21/2026 - Appriss reproduced the behaviour across repeated runs of the unchanged search and passed the case to engineering for review.
9/22/2026 - Engineering accepted the case into development.</t>
        </is>
      </c>
    </row>
    <row r="80" ht="295" customHeight="1" s="24">
      <c r="A80" s="61" t="inlineStr">
        <is>
          <t>RCS-29057</t>
        </is>
      </c>
      <c r="B80" s="62" t="inlineStr">
        <is>
          <t>Narrative missing from the LP External Doc</t>
        </is>
      </c>
      <c r="C80" s="62" t="inlineStr">
        <is>
          <t>Completed</t>
        </is>
      </c>
      <c r="D80" s="66" t="inlineStr">
        <is>
          <t>Resolved</t>
        </is>
      </c>
      <c r="E80" s="62" t="inlineStr">
        <is>
          <t>Juan Martinez</t>
        </is>
      </c>
      <c r="F80" s="63" t="n">
        <v>46287</v>
      </c>
      <c r="G80" s="63" t="n">
        <v>46290</v>
      </c>
      <c r="H80" s="62" t="inlineStr">
        <is>
          <t>The narrative is not appearing on the LP External Doc. Ahold notes the same behaviour was addressed under RCS-22886 last year and appears to have returned. The ticket does not name a specific case. Raised 9/22.</t>
        </is>
      </c>
      <c r="I80" s="62" t="inlineStr">
        <is>
          <t>Ahold sent case 2026-Ahold Delhaize USA Services LLC-9999-278 on 9/23. On Identification Request cases the text sat in Synopsis, which the workbench notes does not print on the document. Appriss added the narrative box at the top of Report Narrative for Identification Request on 9/24, so the narrative prints on new cases. For an existing case, copying the Synopsis text into that top box and saving brings it through. Leigh Ann confirmed on 9/25 that this is expected behaviour and the ticket closed the same day.</t>
        </is>
      </c>
      <c r="J80" s="62" t="inlineStr">
        <is>
          <t>Ticket opened 9/22/2026
9/22/2026 - Narrative is missing from the LP External Doc. This was addressed under RCS-22886 last year and appears to be an issue again.
9/22/2026 - Appriss asked for the case number where the narrative is not showing, so that case can be pulled up directly.
9/23/2026 - Case 2026-Ahold Delhaize USA Services LLC-9999-278.
9/25/2026 - That makes perfect sense. The workbench states that Synopsis will not print on the document.
9/25/2026 - Closed in Jira as resolved.</t>
        </is>
      </c>
    </row>
    <row r="81" ht="165" customHeight="1" s="24">
      <c r="A81" s="57" t="inlineStr">
        <is>
          <t>RCS-29285</t>
        </is>
      </c>
      <c r="B81" s="58" t="inlineStr">
        <is>
          <t>Bulk export appeared to return only one day of a date range</t>
        </is>
      </c>
      <c r="C81" s="58" t="inlineStr">
        <is>
          <t>Closed</t>
        </is>
      </c>
      <c r="D81" s="66" t="inlineStr">
        <is>
          <t>Resolved</t>
        </is>
      </c>
      <c r="E81" s="58" t="inlineStr">
        <is>
          <t>Diego Buelvas</t>
        </is>
      </c>
      <c r="F81" s="60" t="n">
        <v>46300</v>
      </c>
      <c r="G81" s="60" t="n">
        <v>46300</v>
      </c>
      <c r="H81" s="58" t="inlineStr">
        <is>
          <t>A bulk export of a saved search run over a four day range appeared to contain only the most recent day, while running the individual days returned data. Raised 10/5.</t>
        </is>
      </c>
      <c r="I81" s="58" t="inlineStr">
        <is>
          <t>Appriss reviewed the export and confirmed it carries the full range. The dates in the file are held as text, so filtering on that column in the spreadsheet does not list every value. Ahold confirmed the same day and the ticket closed.</t>
        </is>
      </c>
      <c r="J81" s="58" t="inlineStr">
        <is>
          <t>Ticket opened 10/5/2026
10/5/2026 - A bulk export for 10/2 to 10/5 appears to include only 10/4.
10/5/2026 - Confirmed the export is correct. The end date is formatted as text, so the filter did not show all values.</t>
        </is>
      </c>
    </row>
    <row r="82" ht="101.25" customHeight="1" s="24">
      <c r="A82" s="35" t="inlineStr">
        <is>
          <t>Performance and timeouts</t>
        </is>
      </c>
    </row>
    <row r="83" ht="21.75" customHeight="1" s="24">
      <c r="A83" s="36" t="inlineStr">
        <is>
          <t>RCS-28075</t>
        </is>
      </c>
      <c r="B83" s="37" t="inlineStr">
        <is>
          <t>Users are experiencing Time Outs</t>
        </is>
      </c>
      <c r="C83" s="37" t="inlineStr">
        <is>
          <t>Closed</t>
        </is>
      </c>
      <c r="D83" s="38" t="inlineStr">
        <is>
          <t>Resolved</t>
        </is>
      </c>
      <c r="E83" s="37" t="inlineStr">
        <is>
          <t>Vedant Shirude</t>
        </is>
      </c>
      <c r="F83" s="39" t="n">
        <v>46233</v>
      </c>
      <c r="G83" s="39" t="n">
        <v>46247</v>
      </c>
      <c r="H83" s="37" t="inlineStr">
        <is>
          <t>Central Station associates were timed out of the application and had to close and re-enter to keep working. Two administrators were separately found to be missing the Administrators permission group and several baseline groups.</t>
        </is>
      </c>
      <c r="I83" s="37" t="inlineStr">
        <is>
          <t>The permission groups were restored and database indexing improvements were deployed on 8/6. Closed on 8/11. The session timeout is 60 minutes and can be raised on request.</t>
        </is>
      </c>
      <c r="J83" s="37" t="inlineStr">
        <is>
          <t>8/11/2026 - Resolved</t>
        </is>
      </c>
    </row>
    <row r="84" ht="63" customHeight="1" s="24">
      <c r="A84" s="40" t="inlineStr">
        <is>
          <t>RCS-28353</t>
        </is>
      </c>
      <c r="B84" s="41" t="inlineStr">
        <is>
          <t>Error 502 when updating store information</t>
        </is>
      </c>
      <c r="C84" s="41" t="inlineStr">
        <is>
          <t>Closed</t>
        </is>
      </c>
      <c r="D84" s="38" t="inlineStr">
        <is>
          <t>Resolved</t>
        </is>
      </c>
      <c r="E84" s="41" t="inlineStr">
        <is>
          <t>Juan Martinez</t>
        </is>
      </c>
      <c r="F84" s="42" t="n">
        <v>46247</v>
      </c>
      <c r="G84" s="42" t="n">
        <v>46258</v>
      </c>
      <c r="H84" s="41" t="inlineStr">
        <is>
          <t>Updating a name in the store profile returned a 502 error, alongside general slowness. The error occurred specifically when adding a manager to the store record, where the lookup against the employee data was slow to return.</t>
        </is>
      </c>
      <c r="I84" s="41" t="inlineStr">
        <is>
          <t>Worked together with RCS-28356 and RCS-28407, since the 502s and the slowness shared a cause. Fixes reached production the evening of 8/17. Ahold tested the store profile update repeatedly on Friday with no failures and reported it faster than before, which ties the original error to the lookup latency. Closed.</t>
        </is>
      </c>
      <c r="J84" s="41" t="inlineStr">
        <is>
          <t>Ticket opened 8/13/2026
8/18/2026 - To be retested following the 8/17 release.
8/21/2026 - Store profile update is working following the performance fixes in production.
8/24/2026 - Tested repeatedly on Friday with no failures and faster than before.</t>
        </is>
      </c>
    </row>
    <row r="85" ht="102.75" customHeight="1" s="24">
      <c r="A85" s="36" t="inlineStr">
        <is>
          <t>RCS-28356</t>
        </is>
      </c>
      <c r="B85" s="37" t="inlineStr">
        <is>
          <t>Users are experiencing sluggishness of the system</t>
        </is>
      </c>
      <c r="C85" s="37" t="inlineStr">
        <is>
          <t>Closed</t>
        </is>
      </c>
      <c r="D85" s="38" t="inlineStr">
        <is>
          <t>Resolved</t>
        </is>
      </c>
      <c r="E85" s="37" t="inlineStr">
        <is>
          <t>Camila Cortes</t>
        </is>
      </c>
      <c r="F85" s="39" t="n">
        <v>46247</v>
      </c>
      <c r="G85" s="39" t="n">
        <v>46265</v>
      </c>
      <c r="H85" s="37" t="inlineStr">
        <is>
          <t>Moving around the platform was slower than expected, with 502 responses occurring alongside the slowness. The Hannaford brand reported long page open times needing repeated refreshes. Appriss saw the same performance behavior on its side.</t>
        </is>
      </c>
      <c r="I85" s="37" t="inlineStr">
        <is>
          <t>Appriss deployed a set of fixes on 8/17 and moved Izenda onto its own dedicated app service plan rather than the shared plan, which keeps the 502s from recurring. Ahold reported no issues since the Thursday deployment, tested under poor network conditions. Resolved. Autoscale review continues on the Appriss side.</t>
        </is>
      </c>
      <c r="J85" s="37" t="inlineStr">
        <is>
          <t>Ticket opened 8/13/2026
8/18/2026 - No 502 errors this morning but experiencing a lot of latency moving from one page to the next.
8/24/2026 - No issues since the Thursday deployment, tested under poor network conditions.</t>
        </is>
      </c>
    </row>
    <row r="86" ht="60.75" customHeight="1" s="24">
      <c r="A86" s="40" t="inlineStr">
        <is>
          <t>RCS-28407</t>
        </is>
      </c>
      <c r="B86" s="41" t="inlineStr">
        <is>
          <t>502 error frequently received while using the platform</t>
        </is>
      </c>
      <c r="C86" s="41" t="inlineStr">
        <is>
          <t>Closed</t>
        </is>
      </c>
      <c r="D86" s="38" t="inlineStr">
        <is>
          <t>Resolved</t>
        </is>
      </c>
      <c r="E86" s="41" t="inlineStr">
        <is>
          <t>Edwin Garzon</t>
        </is>
      </c>
      <c r="F86" s="42" t="n">
        <v>46251</v>
      </c>
      <c r="G86" s="42" t="n">
        <v>46259</v>
      </c>
      <c r="H86" s="41" t="inlineStr">
        <is>
          <t>Users frequently received a 502 error while performing a range of functions in LPMS. It was not limited to one process. Raised 8/17 with a screenshot.</t>
        </is>
      </c>
      <c r="I86" s="41" t="inlineStr">
        <is>
          <t>Traced alongside the performance work on RCS-28353 and RCS-28356. Izenda stays on a dedicated app service plan to keep the 502s from recurring. Ahold considers the 502s resolved following the Thursday deployment, with only isolated occurrences of the kind expected on any web platform. Closed in Jira on 8/25.</t>
        </is>
      </c>
      <c r="J86" s="41" t="inlineStr">
        <is>
          <t>Ticket opened 08/17/2026
8/18/2026 - 502 errors received this morning, detail provided on the ticket.
8/19/2026 - New example provided from the Locations tab.
8/24/2026 - Considered resolved following the Thursday deployment.</t>
        </is>
      </c>
    </row>
    <row r="87" ht="120" customHeight="1" s="24">
      <c r="A87" s="57" t="inlineStr">
        <is>
          <t>RCS-29202</t>
        </is>
      </c>
      <c r="B87" s="58" t="inlineStr">
        <is>
          <t>Systemwide slowness on the Delhaize instance</t>
        </is>
      </c>
      <c r="C87" s="58" t="inlineStr">
        <is>
          <t>Closed</t>
        </is>
      </c>
      <c r="D87" s="66" t="inlineStr">
        <is>
          <t>Resolved</t>
        </is>
      </c>
      <c r="E87" s="58" t="inlineStr">
        <is>
          <t>Camila Cortes</t>
        </is>
      </c>
      <c r="F87" s="60" t="n">
        <v>46295</v>
      </c>
      <c r="G87" s="60" t="n">
        <v>46296</v>
      </c>
      <c r="H87" s="58" t="inlineStr">
        <is>
          <t>Becky reported intermittent slowness for all Delhaize users on 9/30.</t>
        </is>
      </c>
      <c r="I87" s="58" t="inlineStr">
        <is>
          <t>The slowness traced to the web application servers. Appriss restarted the instances that were failing and Becky confirmed on 10/1 that the system was stable again. The ticket closed the same day.</t>
        </is>
      </c>
      <c r="J87" s="58" t="inlineStr">
        <is>
          <t>Ticket opened 9/30/2026
9/30/2026 - It does seem better now, but it was intermittent prior to opening the ticket. Let's leave this open for the day and continue to monitor.
10/1/2026 - Confirmed the system is stable again on our side.</t>
        </is>
      </c>
    </row>
    <row r="88" ht="21.75" customHeight="1" s="24">
      <c r="A88" s="35" t="inlineStr">
        <is>
          <t>Platform configuration and notifications</t>
        </is>
      </c>
    </row>
    <row r="89" ht="129" customHeight="1" s="24">
      <c r="A89" s="36" t="inlineStr">
        <is>
          <t>RCS-28030</t>
        </is>
      </c>
      <c r="B89" s="37" t="inlineStr">
        <is>
          <t>Server time needs adjusted to EST</t>
        </is>
      </c>
      <c r="C89" s="37" t="inlineStr">
        <is>
          <t>Closed</t>
        </is>
      </c>
      <c r="D89" s="38" t="inlineStr">
        <is>
          <t>Resolved</t>
        </is>
      </c>
      <c r="E89" s="37" t="inlineStr">
        <is>
          <t>Juan Martinez</t>
        </is>
      </c>
      <c r="F89" s="39" t="n">
        <v>46232</v>
      </c>
      <c r="G89" s="39" t="n">
        <v>46247</v>
      </c>
      <c r="H89" s="37" t="inlineStr">
        <is>
          <t>Timestamps on journal notes and attachment uploads showed four hours ahead of local time, because the migration defaulted user profiles to UTC rather than Eastern.</t>
        </is>
      </c>
      <c r="I89" s="37" t="inlineStr">
        <is>
          <t>Eastern time was applied across all ADUSA user accounts. Closed. If anyone still sees a four hour offset, have them sign out and back in first, then send the case number.</t>
        </is>
      </c>
      <c r="J89" s="37" t="inlineStr">
        <is>
          <t>No current report of issues. Looking at User file, it appears to be correct</t>
        </is>
      </c>
    </row>
    <row r="90" ht="189.75" customHeight="1" s="24">
      <c r="A90" s="40" t="inlineStr">
        <is>
          <t>RCS-28041</t>
        </is>
      </c>
      <c r="B90" s="41" t="inlineStr">
        <is>
          <t>Request to remove "Secure Incident Management System" from email sender display name</t>
        </is>
      </c>
      <c r="C90" s="41" t="inlineStr">
        <is>
          <t>Closed</t>
        </is>
      </c>
      <c r="D90" s="38" t="inlineStr">
        <is>
          <t>Resolved</t>
        </is>
      </c>
      <c r="E90" s="41" t="inlineStr">
        <is>
          <t>Viraj Kansara</t>
        </is>
      </c>
      <c r="F90" s="42" t="n">
        <v>46232</v>
      </c>
      <c r="G90" s="42" t="n">
        <v>46238</v>
      </c>
      <c r="H90" s="41" t="inlineStr">
        <is>
          <t>Notification emails display as Secure Incident Management System followed by the sending address. ADUSA asked for the display name to be removed because Outlook rules that group mail by display name stopped working.</t>
        </is>
      </c>
      <c r="I90" s="41" t="inlineStr">
        <is>
          <t>Reviewed by Appriss Product and closed on 8/4. The display name is deliberate, to make the sender identifiable, and will not be reverted or made configurable per client. The sending address is unchanged, so rules and allow lists tied to it still work, and recipients can set a local contact name or alias in Outlook.</t>
        </is>
      </c>
      <c r="J90" s="41" t="inlineStr">
        <is>
          <t>8/4/2026 - Resolved as this is a new system configuration and cannot be changed. Users will be advised of the change.</t>
        </is>
      </c>
    </row>
    <row r="91" ht="189.75" customHeight="1" s="24">
      <c r="A91" s="36" t="inlineStr">
        <is>
          <t>RCS-28109</t>
        </is>
      </c>
      <c r="B91" s="37" t="inlineStr">
        <is>
          <t>"Send to Flock" appearing as an action item on case closure</t>
        </is>
      </c>
      <c r="C91" s="37" t="inlineStr">
        <is>
          <t>Completed</t>
        </is>
      </c>
      <c r="D91" s="38" t="inlineStr">
        <is>
          <t>Resolved</t>
        </is>
      </c>
      <c r="E91" s="37" t="inlineStr">
        <is>
          <t>Matthew Kamminga</t>
        </is>
      </c>
      <c r="F91" s="39" t="n">
        <v>46234</v>
      </c>
      <c r="G91" s="39" t="n">
        <v>46248</v>
      </c>
      <c r="H91" s="37" t="inlineStr">
        <is>
          <t>Since the move to the new URL, "Send to Flock" appeared as an action item when a user closed a case, and ADUSA could not remove it from the configuration directly.</t>
        </is>
      </c>
      <c r="I91" s="37" t="inlineStr">
        <is>
          <t>Removed from view on all cases on 8/14. Resolved. If it appears anywhere still, send the case number and Appriss will reopen.</t>
        </is>
      </c>
      <c r="J91" s="37" t="inlineStr">
        <is>
          <t>8/11/2026 - Appears to be resolved.</t>
        </is>
      </c>
    </row>
    <row r="92" ht="355" customHeight="1" s="24">
      <c r="A92" s="61" t="inlineStr">
        <is>
          <t>RCS-29026</t>
        </is>
      </c>
      <c r="B92" s="62" t="inlineStr">
        <is>
          <t>Smart Alert did not reach its recipients on a case</t>
        </is>
      </c>
      <c r="C92" s="62" t="inlineStr">
        <is>
          <t>Work in progress</t>
        </is>
      </c>
      <c r="D92" s="59" t="inlineStr">
        <is>
          <t>Active with Appriss</t>
        </is>
      </c>
      <c r="E92" s="62" t="inlineStr">
        <is>
          <t>Juan Martinez</t>
        </is>
      </c>
      <c r="F92" s="63" t="n">
        <v>46286</v>
      </c>
      <c r="G92" s="63" t="n">
        <v>46304</v>
      </c>
      <c r="H92" s="62" t="inlineStr">
        <is>
          <t>A Smart Alert configured for a case type did not reach Asset Protection for case 2026-FOOD LION, LLC-0619-27, which was keyed in on 9/20. Store Payments confirmed the alert did not arrive on that side either, and a recipient who is no longer on the distribution list for that case type still appears on the alert. Ahold notes this case carried a large loss and asks whether other alerts were due to fire and did not. Raised 9/21.</t>
        </is>
      </c>
      <c r="I92" s="62" t="inlineStr">
        <is>
          <t>The alert for that case did not reach its recipients because one person appeared twice on the distribution, once on the alert's own email list and once through their store role, with the two addresses written differently. Appriss reviewed every alert sent this year for the same pattern and shared on 10/9 the other cases where it appears. Ahold explained how addresses are added to a distribution list, and both sides agree that keeping each person in one place only is the way to avoid it. Appriss is working through the remaining lists.</t>
        </is>
      </c>
      <c r="J92" s="62" t="inlineStr">
        <is>
          <t>Ticket opened 9/21/2026
9/21/2026 - Asset Protection did not receive the Smart Alert for this case, and Store Payments confirmed it did not arrive on their side either. A recipient who is no longer on the distribution list for this case type still appears on the alert. Are there any more that were supposed to fire off and did not?
9/25/2026 - No alerts appear to be going out now for the Impersonation/Social Engineering case type.
9/25/2026 - The first case found without an alert was around 4:20 PM on 9/24.
9/28/2026 - Appriss confirmed both alerts from the original report are going out again and asked Ahold to confirm.
10/9/2026 - Appriss shared the other alerts where the same duplicate recipient pattern appears, and both sides agreed on keeping each person in a single place on the list.</t>
        </is>
      </c>
    </row>
    <row r="93" ht="235" customHeight="1" s="24">
      <c r="A93" s="57" t="inlineStr">
        <is>
          <t>RCS-29123</t>
        </is>
      </c>
      <c r="B93" s="58" t="inlineStr">
        <is>
          <t>Smart Alerts not going out</t>
        </is>
      </c>
      <c r="C93" s="58" t="inlineStr">
        <is>
          <t>Completed</t>
        </is>
      </c>
      <c r="D93" s="66" t="inlineStr">
        <is>
          <t>Resolved</t>
        </is>
      </c>
      <c r="E93" s="58" t="inlineStr">
        <is>
          <t>Juan Martinez</t>
        </is>
      </c>
      <c r="F93" s="60" t="n">
        <v>46290</v>
      </c>
      <c r="G93" s="60" t="n">
        <v>46302</v>
      </c>
      <c r="H93" s="58" t="inlineStr">
        <is>
          <t>Smart Alerts stopped going out for Ahold cases. Leigh Ann confirmed on 9/25 that Defrauded Customer and Shoplifting cases entered that day sent no alerts, and noted the risk of not notifying the right people if something major happened. Jim flagged it as a significant operational issue the same evening. Raised 9/25.</t>
        </is>
      </c>
      <c r="I93" s="58" t="inlineStr">
        <is>
          <t>Smart Alerts are generating again after the correction was deployed. Leigh Ann confirmed on 10/7 that an alert from the previous day reached her inbox, and the ticket closed the same day.</t>
        </is>
      </c>
      <c r="J93" s="58" t="inlineStr">
        <is>
          <t>Ticket opened 9/25/2026
9/25/2026 - Smart Alerts are not going out today. Defrauded Customer and Shoplifting incidents are not generating any alerts.
9/25/2026 - Any updates? It is becoming a significant operational issue not having them working.
9/27/2026 - Alerts for nine affected cases sent manually.
9/28/2026 - Fix deployed. Alerts confirmed arriving from about 2:30 PM.
10/7/2026 - Alert from yesterday shows as distributed to my email account, so it appears to be working.</t>
        </is>
      </c>
    </row>
    <row r="94" ht="182.25" customHeight="1" s="24">
      <c r="A94" s="35" t="inlineStr">
        <is>
          <t>Store file and location data</t>
        </is>
      </c>
    </row>
    <row r="95" ht="72" customHeight="1" s="24">
      <c r="A95" s="36" t="inlineStr">
        <is>
          <t>RCS-28588</t>
        </is>
      </c>
      <c r="B95" s="37" t="inlineStr">
        <is>
          <t>Store numbers should be 4 digits</t>
        </is>
      </c>
      <c r="C95" s="37" t="inlineStr">
        <is>
          <t>Completed</t>
        </is>
      </c>
      <c r="D95" s="38" t="inlineStr">
        <is>
          <t>Resolved</t>
        </is>
      </c>
      <c r="E95" s="37" t="inlineStr">
        <is>
          <t>Ryan Barlow</t>
        </is>
      </c>
      <c r="F95" s="39" t="n">
        <v>46260</v>
      </c>
      <c r="G95" s="39" t="n">
        <v>46261</v>
      </c>
      <c r="H95" s="37" t="inlineStr">
        <is>
          <t>New locations of fewer than four digits were added to the locations table. Any store numbered 1 to 999 is not a valid ADUSA location. Ahold also asked to restore the earlier behaviour, where LPMS updated existing locations from the location file and did not add new ones.</t>
        </is>
      </c>
      <c r="I95" s="37" t="inlineStr">
        <is>
          <t>899 three digit locations arrived through the location file on 8/26. Appriss set them inactive and renamed them, then asked Ahold to move four cases that hung from them. Leigh Ann moved the cases the same morning and Appriss removed the locations from the store table. The load job now runs as update only, so the automated feed no longer creates location records. That restores the behaviour Ahold asked for.</t>
        </is>
      </c>
      <c r="J95" s="37" t="inlineStr">
        <is>
          <t>Ticket opened 8/26/2026
8/26/2026 - LPMS had been configured not to ADD a location based on an updated location file, just to update existing locations. Can we restore this functionality?
8/27/2026 - I will move them to the correct store number.</t>
        </is>
      </c>
    </row>
    <row r="96" ht="295" customHeight="1" s="24">
      <c r="A96" s="40" t="inlineStr">
        <is>
          <t>RCS-28589</t>
        </is>
      </c>
      <c r="B96" s="41" t="inlineStr">
        <is>
          <t>Store file showing invalid characters before the numeric value</t>
        </is>
      </c>
      <c r="C96" s="41" t="inlineStr">
        <is>
          <t>Closed</t>
        </is>
      </c>
      <c r="D96" s="66" t="inlineStr">
        <is>
          <t>Resolved</t>
        </is>
      </c>
      <c r="E96" s="41" t="inlineStr">
        <is>
          <t>Aimee Wadsworth</t>
        </is>
      </c>
      <c r="F96" s="42" t="n">
        <v>46260</v>
      </c>
      <c r="G96" s="42" t="n">
        <v>46290</v>
      </c>
      <c r="H96" s="41" t="inlineStr">
        <is>
          <t>The store location file showed two invalid characters before the numeric value in the tab set for Longitude. That field appears as EASFrequency in the store file. Ahold confirmed the negative sign should stay and the apostrophe should go. Reopened on 9/1 after Ahold reported the apostrophes still appear when the location listing is exported, and that this export feeds another Ahold system.</t>
        </is>
      </c>
      <c r="I96" s="41" t="inlineStr">
        <is>
          <t>The loading side was corrected earlier, with the apostrophes removed from the 432 affected records and a rule that ignores an apostrophe in EASFrequency and CCTVIPAddress on load. The export fix went out with the release on 9/24. Leigh Ann exported the Asheville/Spartanburg area to CSV the same day and confirmed the extra characters no longer appear. Closed in Jira as resolved on 9/25.</t>
        </is>
      </c>
      <c r="J96" s="41" t="inlineStr">
        <is>
          <t>Ticket opened 8/26/2026
8/26/2026 - For longitude, the negative amount needs to stay but the apostrophe can go.
9/1/2026 - Apostrophes are still appearing when you export the location listing. That export feeds another system of ours.
9/9/2026 - Engineering asked for a development ticket to carry the fix to the export path.
9/24/2026 - Extracted the Asheville/Spartanburg area through the CSV export. The additional characters are no longer visible.
9/25/2026 - Closed in Jira as resolved.</t>
        </is>
      </c>
    </row>
    <row r="97" ht="21.75" customHeight="1" s="24">
      <c r="A97" s="36" t="inlineStr">
        <is>
          <t>RCS-28681</t>
        </is>
      </c>
      <c r="B97" s="37" t="inlineStr">
        <is>
          <t>Refund searches broken for Delhaize brand stores</t>
        </is>
      </c>
      <c r="C97" s="37" t="inlineStr">
        <is>
          <t>Closed</t>
        </is>
      </c>
      <c r="D97" s="38" t="inlineStr">
        <is>
          <t>Resolved</t>
        </is>
      </c>
      <c r="E97" s="37" t="inlineStr">
        <is>
          <t>Vlad Bogus</t>
        </is>
      </c>
      <c r="F97" s="39" t="n">
        <v>46265</v>
      </c>
      <c r="G97" s="39" t="n">
        <v>46266</v>
      </c>
      <c r="H97" s="37" t="inlineStr">
        <is>
          <t>Refund searches returned duplicate results for Delhaize brand stores after two store files loaded on the same day left a duplicate store number in the location reference table.</t>
        </is>
      </c>
      <c r="I97" s="37" t="inlineStr">
        <is>
          <t>Appriss removed the duplicate store record on 9/1 and confirmed refund searches return a single result per transaction. Ahold confirmed the same morning that the issue is resolved. Closed in Jira.</t>
        </is>
      </c>
      <c r="J97" s="37" t="inlineStr">
        <is>
          <t>Ticket opened 8/31/2026
9/1/2026 - This appears to be resolved.</t>
        </is>
      </c>
    </row>
    <row r="98" ht="150" customHeight="1" s="24">
      <c r="A98" s="61" t="inlineStr">
        <is>
          <t>RCS-28911</t>
        </is>
      </c>
      <c r="B98" s="62" t="inlineStr">
        <is>
          <t>Daily location file not processed</t>
        </is>
      </c>
      <c r="C98" s="62" t="inlineStr">
        <is>
          <t>Completed</t>
        </is>
      </c>
      <c r="D98" s="66" t="inlineStr">
        <is>
          <t>Resolved</t>
        </is>
      </c>
      <c r="E98" s="62" t="inlineStr">
        <is>
          <t>Juan Martinez</t>
        </is>
      </c>
      <c r="F98" s="63" t="n">
        <v>46279</v>
      </c>
      <c r="G98" s="63" t="n">
        <v>46281</v>
      </c>
      <c r="H98" s="62" t="inlineStr">
        <is>
          <t>The daily location update file did not process on the morning of 9/14. Ahold reports the file left its side and asks Appriss to confirm receipt. Ahold followed up the same evening and notes the file carries a large batch of store changes still to be applied in LPMS.</t>
        </is>
      </c>
      <c r="I98" s="62" t="inlineStr">
        <is>
          <t>The store and location update was not part of the load that ran on the morning of 9/14. Ahold confirmed on 9/16 that the file went out late because of server issues on its side, and that the file was picked up correctly on the next scheduled run. Jim and Leigh Ann agreed the ticket could close, and it closed the same day.</t>
        </is>
      </c>
      <c r="J98" s="62" t="inlineStr">
        <is>
          <t>Ticket opened 9/14/2026
9/14/2026 - The daily location update file was not processed this morning.
9/14/2026 - Please check to confirm you received the file. It appears to be sent from our side.
9/14/2026 - Still looking for an update on processing of the store file. There were lots of changes that needed to be updated in LPMS.
9/15/2026 - The store and location update was not part of the 9/14 run. It looks like the file arrived after that run and was picked up on the next one. Could you confirm whether the store changes are showing in LPMS now, and hold off on sending another copy while that is checked?
9/16/2026 - The file was sent late as a result of server issues on our side. That file or the new file sent Tuesday was processed Tuesday morning correctly, so this can be closed.</t>
        </is>
      </c>
    </row>
    <row r="99" ht="185.25" customHeight="1" s="24">
      <c r="A99" s="35" t="inlineStr">
        <is>
          <t>Transaction, tender and POS data</t>
        </is>
      </c>
    </row>
    <row r="100" ht="409" customHeight="1" s="24">
      <c r="A100" s="36" t="inlineStr">
        <is>
          <t>RCS-28281</t>
        </is>
      </c>
      <c r="B100" s="37" t="inlineStr">
        <is>
          <t>Transaction data load for August 10 incomplete</t>
        </is>
      </c>
      <c r="C100" s="37" t="inlineStr">
        <is>
          <t>Under Customer Review</t>
        </is>
      </c>
      <c r="D100" s="51" t="inlineStr">
        <is>
          <t>Awaiting Ahold input</t>
        </is>
      </c>
      <c r="E100" s="37" t="inlineStr">
        <is>
          <t>Juan Martinez</t>
        </is>
      </c>
      <c r="F100" s="39" t="n">
        <v>46245</v>
      </c>
      <c r="G100" s="39" t="n">
        <v>46301</v>
      </c>
      <c r="H100" s="37" t="inlineStr">
        <is>
          <t>Transaction data loaded for 8/10 was incomplete. Hourly counts looked normal until early afternoon and then stopped. Loaded volume for the day was about 1.07 million transactions across 726 stores, against roughly 2.1 to 2.3 million on each of 8/7 to 8/9. Gaps were later reported on further trading days. This affects Secure rather than Incident.</t>
        </is>
      </c>
      <c r="I100" s="37" t="inlineStr">
        <is>
          <t>Jacquelyn sent a minute by minute breakdown for the flagged dates on 9/24 while Becky was out. It matches what Appriss sees for 8/12, where no transactions arrived between about 8:29 PM and 10:19 PM Eastern. 8/22 and 8/25 show no gaps, and 8/19 and 8/20 show dips of about three minutes each. Appriss asked on 9/24 for the 8/12 TLOG data covering 8:29 PM through 10:19 PM to be resent, and whether Ahold wants the 8/19 and 8/20 dips included in the same resend. Appriss will confirm the 8/12 counts once the resend lands. Appriss followed up on 10/6 and is still waiting on the resend of the 8/12 window. The ticket has been open for more than sixty days and is on the list for review with Appriss support management.</t>
        </is>
      </c>
      <c r="J100" s="37" t="inlineStr">
        <is>
          <t>This is a ticket for the Secure system (Zeus), not Incident (LPMS)
8/19/2026 - There is still a great deal of data missing from 8/10 through 8/18. The correct answer is to have the missing volume backfilled.
8/27/2026 - If someone can scan for smaller blocks of time, especially 10 minute blocks where holes exist, it would help us determine which batches may need to be resubmitted.
8/31/2026 - A good deal of recovery appears to have occurred. 9pm-10pm on 8/12 is still missing, and there are still a handful of dates sitting at 100-200K short of average.
9/7/2026 - Appriss asked Rodney to have Becky run the same 10 minute check on the remaining flagged dates, 8/11, 8/12, 8/19, 8/20, 8/22 and 8/25.
9/17/2026 - Following up on the ten minute check for the flagged dates. Please let us know if there are any updates on this incident or if service has returned to normal.
9/22/2026 - Checking back on the ten minute check. Could you confirm whether it was run for the other flagged dates, the eleventh, twelfth, nineteenth, twentieth, twenty second and twenty fifth?
9/23/2026 - Becky is out of the office this week and will return on Monday, September 28.
9/24/2026 - Minute by minute breakouts attached. 8/12 abnormally low from 8:29 to 8:38 PM and 8:49 to 8:59 PM, all transactions missing from 9 PM, missing from 10 PM through 10:19 PM. 8/19 drop from 4:26 to 4:28 PM. 8/20 drop from 12:27 to 12:29 PM. 8/22 and 8/25 no obvious abnormalities.
9/24/2026 - Appriss asked for the 8/12 data from 8:29 PM to 10:19 PM to be resent.
10/6/2026 - Appriss followed up on the 8/12 resend request.</t>
        </is>
      </c>
    </row>
    <row r="101" ht="99.75" customHeight="1" s="24">
      <c r="A101" s="40" t="inlineStr">
        <is>
          <t>RCS-28125</t>
        </is>
      </c>
      <c r="B101" s="41" t="inlineStr">
        <is>
          <t>Load data for testing EBT card length change</t>
        </is>
      </c>
      <c r="C101" s="41" t="inlineStr">
        <is>
          <t>Closed</t>
        </is>
      </c>
      <c r="D101" s="38" t="inlineStr">
        <is>
          <t>Resolved</t>
        </is>
      </c>
      <c r="E101" s="41" t="inlineStr">
        <is>
          <t>Vlad Bogus</t>
        </is>
      </c>
      <c r="F101" s="42" t="n">
        <v>46237</v>
      </c>
      <c r="G101" s="42" t="n">
        <v>46255</v>
      </c>
      <c r="H101" s="41" t="inlineStr">
        <is>
          <t>Request to load two test data files so ADUSA can validate that changes supporting downstream POS processes have not affected data loading in both versions in use. This affects Secure rather than Incident.</t>
        </is>
      </c>
      <c r="I101" s="41" t="inlineStr">
        <is>
          <t>Both files were loaded successfully on 8/6. Marked complete on 8/17 and closed on 8/21. If ADUSA finds any issue with the loaded data, reply on the ticket and Appriss will pick it back up.</t>
        </is>
      </c>
      <c r="J101" s="41" t="inlineStr">
        <is>
          <t>This is a ticket for the Secure system (Zeus), not Incident (LPMS)</t>
        </is>
      </c>
    </row>
    <row r="102" ht="185.25" customHeight="1" s="24">
      <c r="A102" s="57" t="inlineStr">
        <is>
          <t>RCS-28748</t>
        </is>
      </c>
      <c r="B102" s="58" t="inlineStr">
        <is>
          <t>September 2 data missing from Secure</t>
        </is>
      </c>
      <c r="C102" s="58" t="inlineStr">
        <is>
          <t>Closed</t>
        </is>
      </c>
      <c r="D102" s="38" t="inlineStr">
        <is>
          <t>Resolved</t>
        </is>
      </c>
      <c r="E102" s="58" t="inlineStr">
        <is>
          <t>Ganesh Nayak</t>
        </is>
      </c>
      <c r="F102" s="60" t="n">
        <v>46268</v>
      </c>
      <c r="G102" s="60" t="n">
        <v>46268</v>
      </c>
      <c r="H102" s="58" t="inlineStr">
        <is>
          <t>A data pipeline job failed overnight on September 2, so the day's transaction load did not complete on schedule.</t>
        </is>
      </c>
      <c r="I102" s="58" t="inlineStr">
        <is>
          <t>Appriss identified the failed pipeline step, restarted the load and confirmed all September 2 data is available. Ahold confirmed the same afternoon that the data looks correct. Closed in Jira.</t>
        </is>
      </c>
      <c r="J102" s="58" t="inlineStr">
        <is>
          <t>Ticket opened 9/3/2026
9/3/2026 - Everything looks correct on my end now as well.</t>
        </is>
      </c>
    </row>
    <row r="103" ht="250" customHeight="1" s="24">
      <c r="A103" s="40" t="inlineStr">
        <is>
          <t>RCS-28784</t>
        </is>
      </c>
      <c r="B103" s="41" t="inlineStr">
        <is>
          <t>Item showing incorrect original price</t>
        </is>
      </c>
      <c r="C103" s="41" t="inlineStr">
        <is>
          <t>Closed</t>
        </is>
      </c>
      <c r="D103" s="56" t="inlineStr">
        <is>
          <t>Resolved</t>
        </is>
      </c>
      <c r="E103" s="41" t="inlineStr">
        <is>
          <t>Vlad Bogus</t>
        </is>
      </c>
      <c r="F103" s="42" t="n">
        <v>46269</v>
      </c>
      <c r="G103" s="42" t="n">
        <v>46274</v>
      </c>
      <c r="H103" s="41" t="inlineStr">
        <is>
          <t>A twelve pack of soda rang up with an original price of 21.98 per unit before the cashier applied a manual override to 4.00. The printed receipt shows the original multi buy price as 2 for 21.98, which prices each can at 10.99. Becky LaPierre asks whether the tlog carries the 2 for 21.98 multi buy price or the single unit price of 21.98.</t>
        </is>
      </c>
      <c r="I103" s="41" t="inlineStr">
        <is>
          <t>Vlad reviewed the transaction data and the point of sale log for the transaction Becky supplied and confirmed Secure displays the price the register sent, the bundle price of a two for 21.98 multi buy offer rather than a per unit price. The register does not send the deal quantity needed to compute a per unit original price. Becky confirmed on 9/9 that recent transactions look correct and will raise the feed question with her point of sale team if it returns. Closed in Jira.</t>
        </is>
      </c>
      <c r="J103" s="41" t="inlineStr">
        <is>
          <t>Ticket opened 9/4/2026
9/7/2026 - Routing corrected to Secure. Assigned to Vlad Bogus.
9/8/2026 - Vlad confirmed Secure displays the price the register sent. The register does not send the multi buy quantity needed to show a per unit price. Appriss recommends Ahold raise this with its POS vendor as an enhancement.
9/9/2026 - Recent transactions look correct. Ahold will take the transaction feed question to its POS team if the behaviour returns. Closed in Jira.</t>
        </is>
      </c>
    </row>
    <row r="104" ht="280" customHeight="1" s="24">
      <c r="A104" s="57" t="inlineStr">
        <is>
          <t>RCS-27077</t>
        </is>
      </c>
      <c r="B104" s="58" t="inlineStr">
        <is>
          <t>New tender types for Delhaize</t>
        </is>
      </c>
      <c r="C104" s="58" t="inlineStr">
        <is>
          <t>Under Customer Review</t>
        </is>
      </c>
      <c r="D104" s="65" t="inlineStr">
        <is>
          <t>Awaiting Ahold input</t>
        </is>
      </c>
      <c r="E104" s="58" t="inlineStr">
        <is>
          <t>Nikita Rathore</t>
        </is>
      </c>
      <c r="F104" s="60" t="n">
        <v>46168</v>
      </c>
      <c r="G104" s="60" t="n">
        <v>46307</v>
      </c>
      <c r="H104" s="58" t="inlineStr">
        <is>
          <t>Ahold requested new tender types to support new benefit card acceptance. On 9/23 the request was split by banner: the Delhaize tender types continue here and the Ahold ones moved to RCS-29063.</t>
        </is>
      </c>
      <c r="I104" s="58" t="inlineStr">
        <is>
          <t>The Delhaize side of this request is resolved and deployed, and all September and October test files were loaded by 10/7. Appriss received the Ahold test data on 10/8 and confirmed on 10/12 that all 76 files loaded, with none skipped or rejected, for 12,758 transactions. Ahold confirmed on 10/9 that this is the last load needed unless the testing turns something up. Appriss is waiting on Ahold to confirm whether this ticket can be closed, with the Ahold requirements tracked on RCS-29063 so each banner can move on its own.</t>
        </is>
      </c>
      <c r="J104" s="58" t="inlineStr">
        <is>
          <t>9/23/2026 - We are checking the data. We assume no changes were needed to the data load process for the alphanumeric cashier ID.
9/23/2026 - What fix was needed, how soon will it be in production, were there issues loading the data, and was it loaded for both Ahold and Delhaize?
9/24/2026 - Were you able to load any Delhaize files sent after September 17?
9/24/2026 - Appriss confirmed the tender types are in production and asked Ahold to verify.
10/8/2026 - Ahold data sent for testing, covering 8/29 through 10/8.
10/9/2026 - Appriss suggested tracking the Ahold requirements separately so each side can progress on its own.
10/12/2026 - Appriss loaded all 76 Ahold test files, 12,758 transactions, none skipped or rejected.</t>
        </is>
      </c>
    </row>
    <row r="105" ht="130" customHeight="1" s="24">
      <c r="A105" s="61" t="inlineStr">
        <is>
          <t>RCS-29063</t>
        </is>
      </c>
      <c r="B105" s="62" t="inlineStr">
        <is>
          <t>New tender types for Ahold</t>
        </is>
      </c>
      <c r="C105" s="62" t="inlineStr">
        <is>
          <t>Waiting for Software Release</t>
        </is>
      </c>
      <c r="D105" s="59" t="inlineStr">
        <is>
          <t>Active with Appriss</t>
        </is>
      </c>
      <c r="E105" s="62" t="inlineStr">
        <is>
          <t>Andres Esteban</t>
        </is>
      </c>
      <c r="F105" s="63" t="n">
        <v>46288</v>
      </c>
      <c r="G105" s="63" t="n">
        <v>46295</v>
      </c>
      <c r="H105" s="62" t="inlineStr">
        <is>
          <t>Ahold needs two new tender types for new benefit card acceptance at brick and mortar stores: 97 for FIS transactions and 98 for Evermore transactions. Split from RCS-27077 on 9/23.</t>
        </is>
      </c>
      <c r="I105" s="62" t="inlineStr">
        <is>
          <t>Code 98 was already used inside the Ahold data load for cash change records, so Appriss moved those records to a new reserved code, 93, before relabelling 98 as Evermore. Tender type 97 for FIS is added. Both new tender types are in the staging environment and are waiting for the software release, after which they will show on transactions. Nothing is needed from Ahold at this point.</t>
        </is>
      </c>
      <c r="J105" s="62" t="inlineStr">
        <is>
          <t>Ticket opened 9/23/2026</t>
        </is>
      </c>
    </row>
    <row r="106" ht="165" customHeight="1" s="24">
      <c r="A106" s="57" t="inlineStr">
        <is>
          <t>RCS-29228</t>
        </is>
      </c>
      <c r="B106" s="58" t="inlineStr">
        <is>
          <t>One tender type no longer appearing in reporting</t>
        </is>
      </c>
      <c r="C106" s="58" t="inlineStr">
        <is>
          <t>Closed</t>
        </is>
      </c>
      <c r="D106" s="66" t="inlineStr">
        <is>
          <t>Resolved</t>
        </is>
      </c>
      <c r="E106" s="58" t="inlineStr">
        <is>
          <t>Luis Hernandez</t>
        </is>
      </c>
      <c r="F106" s="60" t="n">
        <v>46296</v>
      </c>
      <c r="G106" s="60" t="n">
        <v>46301</v>
      </c>
      <c r="H106" s="58" t="inlineStr">
        <is>
          <t>Ahold saw a sharp decline in the use of one tender type in its reporting and asked Appriss to check the transaction data for a sample receipt to confirm whether that tender was present in what Ahold sends. Raised 10/1.</t>
        </is>
      </c>
      <c r="I106" s="58" t="inlineStr">
        <is>
          <t>Appriss reviewed the transaction data for the sample Ahold provided. Ahold's own POS team confirmed on 10/6 that the cause sits on their side and asked to close the ticket.</t>
        </is>
      </c>
      <c r="J106" s="58" t="inlineStr">
        <is>
          <t>Ticket opened 10/1/2026
10/1/2026 - Sharp decline in usage of this tender type. Please review the transaction data for this receipt.
10/6/2026 - Our POS team has confirmed the issue is on their end, so we can close this ticket.</t>
        </is>
      </c>
    </row>
    <row r="107" ht="215" customHeight="1" s="24">
      <c r="A107" s="61" t="inlineStr">
        <is>
          <t>RCS-29300</t>
        </is>
      </c>
      <c r="B107" s="62" t="inlineStr">
        <is>
          <t>Item order on receipts does not match the order items were scanned</t>
        </is>
      </c>
      <c r="C107" s="62" t="inlineStr">
        <is>
          <t>Under Customer Review</t>
        </is>
      </c>
      <c r="D107" s="65" t="inlineStr">
        <is>
          <t>Awaiting Ahold input</t>
        </is>
      </c>
      <c r="E107" s="62" t="inlineStr">
        <is>
          <t>Megha Rathi</t>
        </is>
      </c>
      <c r="F107" s="63" t="n">
        <v>46301</v>
      </c>
      <c r="G107" s="63" t="n">
        <v>46308</v>
      </c>
      <c r="H107" s="62" t="inlineStr">
        <is>
          <t>A user reported that the order of items on a receipt does not match the order on video. Sorting the transaction by item record date time lines up with the video, while the sequence on the receipt does not match either the audit tab or the item record sequence order. Raised 10/6 with a sample transaction.</t>
        </is>
      </c>
      <c r="I107" s="62" t="inlineStr">
        <is>
          <t>Appriss checked the sample and then the source file for that trading day. The receipt follows the item sequence number and the audit tab follows scan time, and the two differ because the sequence numbers in the file arrive out of scan order. The same pattern appears on 392 tickets across 54 stores in that one file, so no further samples are needed. Appriss shared the findings on 10/9 for Ahold to review with the team that produces the file. Appriss followed up on 10/13 and is waiting on that review before taking the case further.</t>
        </is>
      </c>
      <c r="J107" s="62" t="inlineStr">
        <is>
          <t>Ticket opened 10/6/2026
10/6/2026 - The item sequence on the receipt does not match the audit tab or the item record sequence order, while the date time sort matches the video.
10/9/2026 - Appriss confirmed the sequence numbers arrive out of scan order in the source file, on 392 tickets across 54 stores for that day.
10/13/2026 - Appriss followed up on the findings shared on 10/9.</t>
        </is>
      </c>
    </row>
    <row r="108" ht="150" customHeight="1" s="24">
      <c r="A108" s="57" t="inlineStr">
        <is>
          <t>RCS-29355</t>
        </is>
      </c>
      <c r="B108" s="58" t="inlineStr">
        <is>
          <t>Data load requested for files with no regular delivery route</t>
        </is>
      </c>
      <c r="C108" s="58" t="inlineStr">
        <is>
          <t>Under Support Review</t>
        </is>
      </c>
      <c r="D108" s="59" t="inlineStr">
        <is>
          <t>Active with Appriss</t>
        </is>
      </c>
      <c r="E108" s="58" t="inlineStr">
        <is>
          <t>Edwin Garzon</t>
        </is>
      </c>
      <c r="F108" s="60" t="n">
        <v>46303</v>
      </c>
      <c r="G108" s="60" t="n">
        <v>46304</v>
      </c>
      <c r="H108" s="58" t="inlineStr">
        <is>
          <t>Ahold supplied two sets of files that have no standard delivery route to the intake server yet, and asked that they be loaded into the Delhaize instance. The transactions relate to receipts covered by data that already arrives on the normal route. Raised 10/8.</t>
        </is>
      </c>
      <c r="I108" s="58" t="inlineStr">
        <is>
          <t>Appriss took the ticket on 10/9 and is reviewing what is needed to load the supplied files. Appriss will come back with the outcome of that load.</t>
        </is>
      </c>
      <c r="J108" s="58" t="inlineStr">
        <is>
          <t>Ticket opened 10/8/2026
10/8/2026 - These files do not currently have a standard data flow to the intake server, so they are being provided here until we do.</t>
        </is>
      </c>
    </row>
    <row r="109" ht="215" customHeight="1" s="24">
      <c r="A109" s="61" t="inlineStr">
        <is>
          <t>RCS-29399</t>
        </is>
      </c>
      <c r="B109" s="62" t="inlineStr">
        <is>
          <t>Validation requested that transaction data is still arriving</t>
        </is>
      </c>
      <c r="C109" s="62" t="inlineStr">
        <is>
          <t>Work in progress</t>
        </is>
      </c>
      <c r="D109" s="59" t="inlineStr">
        <is>
          <t>Active with Appriss</t>
        </is>
      </c>
      <c r="E109" s="62" t="inlineStr">
        <is>
          <t>Luis Hernandez</t>
        </is>
      </c>
      <c r="F109" s="63" t="n">
        <v>46307</v>
      </c>
      <c r="G109" s="63" t="n">
        <v>46308</v>
      </c>
      <c r="H109" s="62" t="inlineStr">
        <is>
          <t>Ahold asked Appriss to confirm whether transaction data is still arriving on both instances and, if it stopped, when. Ahold reports an event on its side that is limiting access to externally hosted systems through the normal security route, starting over the weekend of 10/10. No data has been regenerated on the Ahold side. Raised 10/12.</t>
        </is>
      </c>
      <c r="I109" s="62" t="inlineStr">
        <is>
          <t>Appriss shared a daily status on 10/12. Ahold reported on 10/13 that some of the Ahold data is arriving and none of the Delhaize data, and asked for hour by hour counts for 10/11 through 10/13. Appriss is preparing those counts. Ahold also asked whether Secure can be reached without single sign on while the normal route is unavailable, and Appriss is reviewing that request.</t>
        </is>
      </c>
      <c r="J109" s="62" t="inlineStr">
        <is>
          <t>Ticket opened 10/12/2026
10/12/2026 - We are not currently able to access externally hosted systems through our normal security protocols. Nothing has been regenerated yet. We are getting a baseline on whether data is flowing successfully to your servers, and if it stopped, when.
10/13/2026 - Some of the Ahold data is coming in, none of the Delhaize data. We would like an hour by hour for 10/11 through 10/13 to see when the issues started.</t>
        </is>
      </c>
    </row>
    <row r="110">
      <c r="A110" s="35" t="inlineStr">
        <is>
          <t>Change requests and scoping</t>
        </is>
      </c>
    </row>
    <row r="111">
      <c r="A111" s="36" t="inlineStr">
        <is>
          <t>RCS-28292</t>
        </is>
      </c>
      <c r="B111" s="37" t="inlineStr">
        <is>
          <t>Server migration for the LPMS store file</t>
        </is>
      </c>
      <c r="C111" s="37" t="inlineStr">
        <is>
          <t>Closed</t>
        </is>
      </c>
      <c r="D111" s="38" t="inlineStr">
        <is>
          <t>Resolved</t>
        </is>
      </c>
      <c r="E111" s="37" t="inlineStr">
        <is>
          <t>Gulshan Kumar</t>
        </is>
      </c>
      <c r="F111" s="39" t="n">
        <v>46245</v>
      </c>
      <c r="G111" s="39" t="n">
        <v>46260</v>
      </c>
      <c r="H111" s="37" t="inlineStr">
        <is>
          <t>ADUSA stood up a new server to move onto a current operating system. The daily LPMS store file is processed from that server, so file receipt could have been affected during the change. The window ran 8/20 from 11:00 PM Eastern until approximately 6:00 AM on 8/21.</t>
        </is>
      </c>
      <c r="I111" s="37" t="inlineStr">
        <is>
          <t>The store file transfers over SFTP, so no allow-list change was needed on the Appriss side. Appriss support monitored the feed through the migration window and saw nothing unexpected. Ahold applied store file changes on Friday and verified a Food Lion store where a regional role change was applied. April Valerio confirmed on 8/25 that there were no issues with the migration and asked for the ticket to be closed. Closed in Jira.</t>
        </is>
      </c>
      <c r="J111" s="37" t="inlineStr">
        <is>
          <t>Not related to URL change. Migration scheduled for 8/20-8/21.
8/18/2026 - April Valerio would be the POC. Will validate on the morning of the 21st.
8/19/2026 - Confirmed SFTP based, no allow-list change needed.
8/25/2026 - There have been no issues with the file server migration. Please close this case.</t>
        </is>
      </c>
    </row>
  </sheetData>
  <mergeCells count="28">
    <mergeCell ref="A23:J23"/>
    <mergeCell ref="A15:B15"/>
    <mergeCell ref="A11:B11"/>
    <mergeCell ref="A38:J38"/>
    <mergeCell ref="A72:J72"/>
    <mergeCell ref="A19:G19"/>
    <mergeCell ref="A6:B6"/>
    <mergeCell ref="A16:B16"/>
    <mergeCell ref="A31:J31"/>
    <mergeCell ref="A7:B7"/>
    <mergeCell ref="A48:J48"/>
    <mergeCell ref="A18:B18"/>
    <mergeCell ref="A82:J82"/>
    <mergeCell ref="A12:B12"/>
    <mergeCell ref="A1:J1"/>
    <mergeCell ref="A94:J94"/>
    <mergeCell ref="A88:J88"/>
    <mergeCell ref="A110:J110"/>
    <mergeCell ref="A14:B14"/>
    <mergeCell ref="A17:B17"/>
    <mergeCell ref="A8:B8"/>
    <mergeCell ref="A66:J66"/>
    <mergeCell ref="A99:J99"/>
    <mergeCell ref="A3:J3"/>
    <mergeCell ref="A10:B10"/>
    <mergeCell ref="A13:B13"/>
    <mergeCell ref="A2:J2"/>
    <mergeCell ref="A9:B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2026-09-02T01:46:20Z</dcterms:created>
  <dcterms:modified xmlns:dcterms="http://purl.org/dc/terms/" xmlns:xsi="http://www.w3.org/2001/XMLSchema-instance" xsi:type="dcterms:W3CDTF">2026-10-13T14:33:02Z</dcterms:modified>
  <cp:revision>0</cp:revision>
</cp:coreProperties>
</file>